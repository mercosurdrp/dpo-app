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00-EstructuraCentral\Estructura_Central\logistica\Operaciones_Central\2T LAS\1- Pilar - Management\0 - Pilares - Management\1.0 5S\01. Auditorías 5S\"/>
    </mc:Choice>
  </mc:AlternateContent>
  <xr:revisionPtr revIDLastSave="0" documentId="11_E9F886A42F33E863D826EEE97BD0F7CFFC75A926" xr6:coauthVersionLast="47" xr6:coauthVersionMax="47" xr10:uidLastSave="{00000000-0000-0000-0000-000000000000}"/>
  <bookViews>
    <workbookView xWindow="-10305" yWindow="-285" windowWidth="19440" windowHeight="6465" xr2:uid="{00000000-000D-0000-FFFF-FFFF00000000}"/>
  </bookViews>
  <sheets>
    <sheet name="5S Flota GLOBAL" sheetId="2" r:id="rId1"/>
  </sheets>
  <definedNames>
    <definedName name="_xlnm.Print_Area">#REF!</definedName>
    <definedName name="Clientes">#REF!</definedName>
    <definedName name="grdg">#REF!</definedName>
    <definedName name="Lista">#REF!</definedName>
    <definedName name="Macro">#REF!</definedName>
    <definedName name="Processos">#REF!</definedName>
    <definedName name="Relação">#REF!</definedName>
    <definedName name="Ответственные">#REF!</definedName>
    <definedName name="Признак">#REF!</definedName>
    <definedName name="статус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8" i="2" l="1"/>
  <c r="M33" i="2"/>
  <c r="M29" i="2"/>
  <c r="M23" i="2"/>
  <c r="M18" i="2"/>
  <c r="N38" i="2"/>
  <c r="L38" i="2"/>
  <c r="N33" i="2"/>
  <c r="L33" i="2"/>
  <c r="N29" i="2"/>
  <c r="L29" i="2"/>
  <c r="N23" i="2"/>
  <c r="L23" i="2"/>
  <c r="N18" i="2"/>
  <c r="L18" i="2"/>
  <c r="K18" i="2" s="1"/>
  <c r="K33" i="2" l="1"/>
  <c r="H6" i="2" s="1"/>
  <c r="L5" i="2"/>
  <c r="K38" i="2"/>
  <c r="I6" i="2" s="1"/>
  <c r="K23" i="2"/>
  <c r="F6" i="2" s="1"/>
  <c r="K29" i="2"/>
  <c r="G6" i="2" s="1"/>
  <c r="E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99787357</author>
  </authors>
  <commentList>
    <comment ref="G26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99787357:</t>
        </r>
        <r>
          <rPr>
            <sz val="9"/>
            <color indexed="81"/>
            <rFont val="Tahoma"/>
            <family val="2"/>
          </rPr>
          <t xml:space="preserve">
Existe um entendimento do 5S na operação, em que a equipe esteja atenta para a limpeza na liberação?</t>
        </r>
      </text>
    </comment>
  </commentList>
</comments>
</file>

<file path=xl/sharedStrings.xml><?xml version="1.0" encoding="utf-8"?>
<sst xmlns="http://schemas.openxmlformats.org/spreadsheetml/2006/main" count="71" uniqueCount="61">
  <si>
    <t xml:space="preserve"> </t>
  </si>
  <si>
    <t>Checklist 5S - Flota</t>
  </si>
  <si>
    <t>%</t>
  </si>
  <si>
    <t>1º S</t>
  </si>
  <si>
    <t>2º S</t>
  </si>
  <si>
    <t>3º S</t>
  </si>
  <si>
    <t>4º S</t>
  </si>
  <si>
    <t>5º S</t>
  </si>
  <si>
    <t>Puntuación total</t>
  </si>
  <si>
    <t>Fechaa:</t>
  </si>
  <si>
    <t>Auditor:</t>
  </si>
  <si>
    <t>Patente:</t>
  </si>
  <si>
    <t>Chofer:</t>
  </si>
  <si>
    <t>Ayudante 1:</t>
  </si>
  <si>
    <t>Ayudante 2:</t>
  </si>
  <si>
    <t>0 = No ok.       1 = Precisa de acciones para mejorar.       3. OK</t>
  </si>
  <si>
    <t>No.</t>
  </si>
  <si>
    <t>Item</t>
  </si>
  <si>
    <t>Descripción</t>
  </si>
  <si>
    <t>Observación/Comentarios</t>
  </si>
  <si>
    <t>Organización</t>
  </si>
  <si>
    <t>Materiales</t>
  </si>
  <si>
    <t>Hay algun material innecesario en la cabina del camion? Revisar cabina, almacenamientos, cajas, ventanas, etc</t>
  </si>
  <si>
    <t>Información</t>
  </si>
  <si>
    <t>El camión tiene números de emergencia y otras informaciones importantes?</t>
  </si>
  <si>
    <t>Objetos personales</t>
  </si>
  <si>
    <t>Hay objetos personales innecesarios en la cabina del camión?</t>
  </si>
  <si>
    <t>Orden</t>
  </si>
  <si>
    <t>Limpieza</t>
  </si>
  <si>
    <t xml:space="preserve">Hay algun cesto de basura o almacenamiento de basura dentro del camión?
</t>
  </si>
  <si>
    <t xml:space="preserve">Seleção </t>
  </si>
  <si>
    <t>El camión tiene estandarizado los lugares para cada cosa? Ej: lugar para colocar documentos, para guardar items de seguridad, herramientas, etc</t>
  </si>
  <si>
    <t>Seguridad</t>
  </si>
  <si>
    <t>Hay items que representen condiciones inseguras?</t>
  </si>
  <si>
    <t>Kit de Limpieza</t>
  </si>
  <si>
    <t>Hay items o kits de limpieza disponibles en el camión?</t>
  </si>
  <si>
    <t>Limpeza</t>
  </si>
  <si>
    <t>El camión presenta buenas condiciones de limpieza? Revisar cabina, cajas, ventanas, asientos, etc</t>
  </si>
  <si>
    <t>Todos los lugares de almacenamiento estan limpios y disponibles para su uso? Revisar suciedad, documentos antiguos, etc.</t>
  </si>
  <si>
    <t>Check Diario</t>
  </si>
  <si>
    <t>Hay algun checklist diario cuando el camión sale del CD para garantizar el cumplimiento del 5s?</t>
  </si>
  <si>
    <t>Mantenimiento</t>
  </si>
  <si>
    <t>El camión presenta buenas condiciones de mantenimiento?</t>
  </si>
  <si>
    <r>
      <t xml:space="preserve">Las cuestiones de Mantenimiento son resueltas rapidamente para garantizar un funcionamiento seguro?
</t>
    </r>
    <r>
      <rPr>
        <b/>
        <sz val="10"/>
        <rFont val="Century Gothic"/>
        <family val="2"/>
      </rPr>
      <t>0=Sin tratativas
1=Tratativa en proceso
3=Tratativa Completa</t>
    </r>
  </si>
  <si>
    <t>Estandarización</t>
  </si>
  <si>
    <t>RACI</t>
  </si>
  <si>
    <t>Hay un claro alineamiento de reglas y responsabilidades de 5s? Revisar RACIs, rutinas de limpieza.</t>
  </si>
  <si>
    <t>Hay un estandar de 5s de camiones? Los choferes tienen conocimiento?</t>
  </si>
  <si>
    <t>Control</t>
  </si>
  <si>
    <t>Hay una lista de todo lo que debe ser almacenado en la cabina?</t>
  </si>
  <si>
    <t>Disciplina</t>
  </si>
  <si>
    <t>Los choferes y ayudantes conocen y aplican el estandar 5s de camiones? Revisar el conocimiento que se tenga sobre ello y el plan de acción</t>
  </si>
  <si>
    <t>Auditoria</t>
  </si>
  <si>
    <t>Hay una rutina de auditoría mensual¿ Los choferes conocen los ultimos resultos? El equipon de distribución conocen sus GAPs?</t>
  </si>
  <si>
    <t>Acciones</t>
  </si>
  <si>
    <t>Hay un plan de acción para tratar las brechas?</t>
  </si>
  <si>
    <t>Reconocimiento</t>
  </si>
  <si>
    <t>Hay un programa de reconocimeitno para el mejor equipo de 5s? Choferes y ayudantes conocen y entienden el programa?</t>
  </si>
  <si>
    <t>Firma chofer: ____________________________</t>
  </si>
  <si>
    <t>Firma ayudante 1: ___________________________</t>
  </si>
  <si>
    <t>Firma ayudante 2: 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</si>
</sst>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Calibri"/>
      <family val="2"/>
      <scheme val="minor"/>
    </font>
    <font>
      <sz val="12"/>
      <name val="Arial"/>
      <family val="2"/>
    </font>
    <font>
      <sz val="12"/>
      <name val="Century Gothic"/>
      <family val="2"/>
    </font>
    <font>
      <b/>
      <sz val="24"/>
      <name val="Century Gothic"/>
      <family val="2"/>
    </font>
    <font>
      <b/>
      <sz val="20"/>
      <name val="Century Gothic"/>
      <family val="2"/>
    </font>
    <font>
      <u/>
      <sz val="6"/>
      <color indexed="12"/>
      <name val="Arial"/>
      <family val="2"/>
    </font>
    <font>
      <b/>
      <sz val="12"/>
      <color indexed="12"/>
      <name val="Century Gothic"/>
      <family val="2"/>
    </font>
    <font>
      <b/>
      <sz val="14"/>
      <color theme="1"/>
      <name val="Century Gothic"/>
      <family val="2"/>
    </font>
    <font>
      <b/>
      <sz val="22"/>
      <color theme="1"/>
      <name val="Century Gothic"/>
      <family val="2"/>
    </font>
    <font>
      <sz val="12"/>
      <color theme="1"/>
      <name val="Century Gothic"/>
      <family val="2"/>
    </font>
    <font>
      <sz val="12"/>
      <name val="Arial"/>
      <family val="2"/>
    </font>
    <font>
      <b/>
      <sz val="18"/>
      <color theme="1"/>
      <name val="Century Gothic"/>
      <family val="2"/>
    </font>
    <font>
      <b/>
      <sz val="18"/>
      <name val="Century Gothic"/>
      <family val="2"/>
    </font>
    <font>
      <b/>
      <sz val="16"/>
      <color theme="1"/>
      <name val="Century Gothic"/>
      <family val="2"/>
    </font>
    <font>
      <b/>
      <sz val="12"/>
      <color theme="1"/>
      <name val="Century Gothic"/>
      <family val="2"/>
    </font>
    <font>
      <b/>
      <sz val="10"/>
      <color theme="1"/>
      <name val="Century Gothic"/>
      <family val="2"/>
    </font>
    <font>
      <sz val="10"/>
      <color theme="1"/>
      <name val="Century Gothic"/>
      <family val="2"/>
    </font>
    <font>
      <b/>
      <sz val="12"/>
      <name val="Century Gothic"/>
      <family val="2"/>
    </font>
    <font>
      <b/>
      <sz val="16"/>
      <name val="Century Gothic"/>
      <family val="2"/>
    </font>
    <font>
      <sz val="10"/>
      <name val="Century Gothic"/>
      <family val="2"/>
    </font>
    <font>
      <sz val="10"/>
      <name val="Arial"/>
      <family val="2"/>
    </font>
    <font>
      <b/>
      <sz val="10"/>
      <name val="Century Gothic"/>
      <family val="2"/>
    </font>
    <font>
      <sz val="10"/>
      <color rgb="FF00B050"/>
      <name val="Century Gothic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9" fontId="10" fillId="0" borderId="0" applyFont="0" applyFill="0" applyBorder="0" applyAlignment="0" applyProtection="0"/>
    <xf numFmtId="0" fontId="1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0" fillId="0" borderId="0"/>
    <xf numFmtId="0" fontId="20" fillId="0" borderId="0"/>
    <xf numFmtId="0" fontId="20" fillId="0" borderId="0"/>
  </cellStyleXfs>
  <cellXfs count="139">
    <xf numFmtId="0" fontId="0" fillId="0" borderId="0" xfId="0"/>
    <xf numFmtId="0" fontId="2" fillId="0" borderId="0" xfId="2" applyFont="1" applyAlignment="1" applyProtection="1">
      <alignment vertical="center"/>
      <protection locked="0"/>
    </xf>
    <xf numFmtId="0" fontId="2" fillId="0" borderId="0" xfId="2" applyFont="1" applyAlignment="1" applyProtection="1">
      <alignment horizontal="center" vertical="center"/>
      <protection locked="0"/>
    </xf>
    <xf numFmtId="0" fontId="2" fillId="0" borderId="1" xfId="2" applyFont="1" applyBorder="1" applyAlignment="1" applyProtection="1">
      <alignment vertical="center"/>
      <protection locked="0"/>
    </xf>
    <xf numFmtId="0" fontId="2" fillId="0" borderId="2" xfId="2" applyFont="1" applyBorder="1" applyAlignment="1" applyProtection="1">
      <alignment horizontal="center" vertical="center"/>
      <protection locked="0"/>
    </xf>
    <xf numFmtId="0" fontId="2" fillId="0" borderId="2" xfId="2" applyFont="1" applyBorder="1" applyAlignment="1" applyProtection="1">
      <alignment vertical="center"/>
      <protection locked="0"/>
    </xf>
    <xf numFmtId="0" fontId="2" fillId="0" borderId="3" xfId="2" applyFont="1" applyBorder="1" applyAlignment="1" applyProtection="1">
      <alignment vertical="center"/>
      <protection locked="0"/>
    </xf>
    <xf numFmtId="0" fontId="4" fillId="0" borderId="0" xfId="2" applyFont="1" applyAlignment="1" applyProtection="1">
      <alignment vertical="center"/>
      <protection locked="0"/>
    </xf>
    <xf numFmtId="0" fontId="2" fillId="0" borderId="4" xfId="2" applyFont="1" applyBorder="1" applyAlignment="1" applyProtection="1">
      <alignment vertical="center"/>
      <protection locked="0"/>
    </xf>
    <xf numFmtId="0" fontId="6" fillId="0" borderId="5" xfId="3" applyFont="1" applyBorder="1" applyAlignment="1" applyProtection="1">
      <alignment horizontal="center" vertical="center"/>
      <protection locked="0"/>
    </xf>
    <xf numFmtId="0" fontId="6" fillId="0" borderId="0" xfId="3" applyFont="1" applyBorder="1" applyAlignment="1" applyProtection="1">
      <alignment horizontal="center" vertical="center"/>
      <protection locked="0"/>
    </xf>
    <xf numFmtId="0" fontId="8" fillId="2" borderId="7" xfId="2" applyFont="1" applyFill="1" applyBorder="1" applyAlignment="1">
      <alignment horizontal="center" vertical="center"/>
    </xf>
    <xf numFmtId="0" fontId="9" fillId="0" borderId="0" xfId="2" applyFont="1" applyAlignment="1" applyProtection="1">
      <alignment vertical="center"/>
      <protection locked="0"/>
    </xf>
    <xf numFmtId="9" fontId="13" fillId="0" borderId="7" xfId="2" applyNumberFormat="1" applyFont="1" applyBorder="1" applyAlignment="1">
      <alignment horizontal="center" vertical="center"/>
    </xf>
    <xf numFmtId="0" fontId="14" fillId="0" borderId="0" xfId="2" applyFont="1" applyAlignment="1" applyProtection="1">
      <alignment vertical="center"/>
      <protection locked="0"/>
    </xf>
    <xf numFmtId="0" fontId="9" fillId="0" borderId="0" xfId="2" applyFont="1" applyAlignment="1">
      <alignment vertical="center"/>
    </xf>
    <xf numFmtId="0" fontId="7" fillId="0" borderId="0" xfId="2" applyFont="1" applyAlignment="1" applyProtection="1">
      <alignment vertical="center"/>
      <protection locked="0"/>
    </xf>
    <xf numFmtId="0" fontId="9" fillId="0" borderId="0" xfId="2" applyFont="1" applyAlignment="1">
      <alignment horizontal="center" vertical="center"/>
    </xf>
    <xf numFmtId="0" fontId="16" fillId="0" borderId="0" xfId="2" applyFont="1" applyAlignment="1" applyProtection="1">
      <alignment vertical="center"/>
      <protection locked="0"/>
    </xf>
    <xf numFmtId="0" fontId="2" fillId="0" borderId="5" xfId="2" applyFont="1" applyBorder="1" applyAlignment="1" applyProtection="1">
      <alignment vertical="center"/>
      <protection locked="0"/>
    </xf>
    <xf numFmtId="0" fontId="15" fillId="0" borderId="0" xfId="2" applyFont="1" applyAlignment="1" applyProtection="1">
      <alignment horizontal="left" vertical="center"/>
      <protection locked="0"/>
    </xf>
    <xf numFmtId="0" fontId="2" fillId="0" borderId="5" xfId="2" applyFont="1" applyBorder="1" applyAlignment="1" applyProtection="1">
      <alignment vertical="center" wrapText="1"/>
      <protection locked="0"/>
    </xf>
    <xf numFmtId="0" fontId="2" fillId="0" borderId="3" xfId="2" applyFont="1" applyBorder="1" applyAlignment="1" applyProtection="1">
      <alignment vertical="center" wrapText="1"/>
      <protection locked="0"/>
    </xf>
    <xf numFmtId="0" fontId="2" fillId="0" borderId="11" xfId="2" applyFont="1" applyBorder="1" applyAlignment="1" applyProtection="1">
      <alignment vertical="center"/>
      <protection locked="0"/>
    </xf>
    <xf numFmtId="0" fontId="2" fillId="0" borderId="12" xfId="2" applyFont="1" applyBorder="1" applyAlignment="1" applyProtection="1">
      <alignment vertical="center"/>
      <protection locked="0"/>
    </xf>
    <xf numFmtId="0" fontId="17" fillId="0" borderId="13" xfId="2" applyFont="1" applyBorder="1" applyAlignment="1" applyProtection="1">
      <alignment horizontal="center" vertical="center"/>
      <protection locked="0"/>
    </xf>
    <xf numFmtId="0" fontId="17" fillId="0" borderId="14" xfId="2" applyFont="1" applyBorder="1" applyAlignment="1" applyProtection="1">
      <alignment horizontal="center" vertical="center"/>
      <protection locked="0"/>
    </xf>
    <xf numFmtId="0" fontId="17" fillId="0" borderId="3" xfId="2" applyFont="1" applyBorder="1" applyAlignment="1" applyProtection="1">
      <alignment horizontal="center" vertical="center"/>
      <protection locked="0"/>
    </xf>
    <xf numFmtId="0" fontId="19" fillId="0" borderId="15" xfId="2" applyFont="1" applyBorder="1" applyAlignment="1" applyProtection="1">
      <alignment horizontal="center" vertical="center"/>
      <protection locked="0"/>
    </xf>
    <xf numFmtId="0" fontId="19" fillId="3" borderId="14" xfId="2" applyFont="1" applyFill="1" applyBorder="1" applyAlignment="1" applyProtection="1">
      <alignment horizontal="center" vertical="center"/>
      <protection locked="0"/>
    </xf>
    <xf numFmtId="0" fontId="19" fillId="0" borderId="17" xfId="2" applyFont="1" applyBorder="1" applyAlignment="1" applyProtection="1">
      <alignment vertical="center" wrapText="1"/>
      <protection locked="0"/>
    </xf>
    <xf numFmtId="0" fontId="2" fillId="0" borderId="0" xfId="2" applyFont="1" applyAlignment="1" applyProtection="1">
      <alignment vertical="center" wrapText="1"/>
      <protection locked="0"/>
    </xf>
    <xf numFmtId="0" fontId="19" fillId="0" borderId="18" xfId="2" applyFont="1" applyBorder="1" applyAlignment="1" applyProtection="1">
      <alignment horizontal="center" vertical="center"/>
      <protection locked="0"/>
    </xf>
    <xf numFmtId="0" fontId="19" fillId="3" borderId="7" xfId="2" applyFont="1" applyFill="1" applyBorder="1" applyAlignment="1" applyProtection="1">
      <alignment horizontal="center" vertical="center"/>
      <protection locked="0"/>
    </xf>
    <xf numFmtId="0" fontId="19" fillId="0" borderId="19" xfId="2" applyFont="1" applyBorder="1" applyAlignment="1" applyProtection="1">
      <alignment vertical="center"/>
      <protection locked="0"/>
    </xf>
    <xf numFmtId="0" fontId="19" fillId="0" borderId="5" xfId="2" applyFont="1" applyBorder="1" applyAlignment="1" applyProtection="1">
      <alignment vertical="center"/>
      <protection locked="0"/>
    </xf>
    <xf numFmtId="0" fontId="19" fillId="0" borderId="23" xfId="2" applyFont="1" applyBorder="1" applyAlignment="1" applyProtection="1">
      <alignment horizontal="center" vertical="center"/>
      <protection locked="0"/>
    </xf>
    <xf numFmtId="0" fontId="19" fillId="0" borderId="11" xfId="2" applyFont="1" applyBorder="1" applyAlignment="1" applyProtection="1">
      <alignment vertical="center"/>
      <protection locked="0"/>
    </xf>
    <xf numFmtId="9" fontId="13" fillId="0" borderId="27" xfId="2" applyNumberFormat="1" applyFont="1" applyBorder="1" applyAlignment="1">
      <alignment horizontal="center" vertical="center"/>
    </xf>
    <xf numFmtId="0" fontId="19" fillId="0" borderId="11" xfId="2" applyFont="1" applyBorder="1" applyAlignment="1" applyProtection="1">
      <alignment vertical="center" wrapText="1"/>
      <protection locked="0"/>
    </xf>
    <xf numFmtId="0" fontId="19" fillId="3" borderId="16" xfId="2" applyFont="1" applyFill="1" applyBorder="1" applyAlignment="1" applyProtection="1">
      <alignment horizontal="center" vertical="center"/>
      <protection locked="0"/>
    </xf>
    <xf numFmtId="0" fontId="19" fillId="0" borderId="31" xfId="2" applyFont="1" applyBorder="1" applyAlignment="1" applyProtection="1">
      <alignment vertical="center" wrapText="1"/>
      <protection locked="0"/>
    </xf>
    <xf numFmtId="0" fontId="19" fillId="0" borderId="31" xfId="2" applyFont="1" applyBorder="1" applyAlignment="1" applyProtection="1">
      <alignment vertical="center"/>
      <protection locked="0"/>
    </xf>
    <xf numFmtId="0" fontId="19" fillId="0" borderId="32" xfId="2" applyFont="1" applyBorder="1" applyAlignment="1" applyProtection="1">
      <alignment horizontal="center" vertical="center"/>
      <protection locked="0"/>
    </xf>
    <xf numFmtId="0" fontId="19" fillId="3" borderId="6" xfId="2" applyFont="1" applyFill="1" applyBorder="1" applyAlignment="1" applyProtection="1">
      <alignment horizontal="center" vertical="center"/>
      <protection locked="0"/>
    </xf>
    <xf numFmtId="0" fontId="19" fillId="0" borderId="35" xfId="2" applyFont="1" applyBorder="1" applyAlignment="1" applyProtection="1">
      <alignment horizontal="center" vertical="center"/>
      <protection locked="0"/>
    </xf>
    <xf numFmtId="0" fontId="19" fillId="3" borderId="8" xfId="2" applyFont="1" applyFill="1" applyBorder="1" applyAlignment="1" applyProtection="1">
      <alignment horizontal="center" vertical="center"/>
      <protection locked="0"/>
    </xf>
    <xf numFmtId="9" fontId="13" fillId="0" borderId="38" xfId="2" applyNumberFormat="1" applyFont="1" applyBorder="1" applyAlignment="1">
      <alignment horizontal="center" vertical="center"/>
    </xf>
    <xf numFmtId="0" fontId="19" fillId="0" borderId="39" xfId="2" applyFont="1" applyBorder="1" applyAlignment="1" applyProtection="1">
      <alignment vertical="center" wrapText="1"/>
      <protection locked="0"/>
    </xf>
    <xf numFmtId="0" fontId="19" fillId="0" borderId="40" xfId="2" applyFont="1" applyBorder="1" applyAlignment="1" applyProtection="1">
      <alignment vertical="center"/>
      <protection locked="0"/>
    </xf>
    <xf numFmtId="0" fontId="19" fillId="3" borderId="27" xfId="2" applyFont="1" applyFill="1" applyBorder="1" applyAlignment="1" applyProtection="1">
      <alignment horizontal="center" vertical="center"/>
      <protection locked="0"/>
    </xf>
    <xf numFmtId="0" fontId="19" fillId="5" borderId="14" xfId="2" applyFont="1" applyFill="1" applyBorder="1" applyAlignment="1" applyProtection="1">
      <alignment horizontal="center" vertical="center"/>
      <protection locked="0"/>
    </xf>
    <xf numFmtId="0" fontId="19" fillId="5" borderId="7" xfId="2" applyFont="1" applyFill="1" applyBorder="1" applyAlignment="1" applyProtection="1">
      <alignment horizontal="center" vertical="center"/>
      <protection locked="0"/>
    </xf>
    <xf numFmtId="0" fontId="19" fillId="5" borderId="27" xfId="2" applyFont="1" applyFill="1" applyBorder="1" applyAlignment="1" applyProtection="1">
      <alignment horizontal="center" vertical="center"/>
      <protection locked="0"/>
    </xf>
    <xf numFmtId="0" fontId="19" fillId="5" borderId="16" xfId="2" applyFont="1" applyFill="1" applyBorder="1" applyAlignment="1" applyProtection="1">
      <alignment horizontal="center" vertical="center"/>
      <protection locked="0"/>
    </xf>
    <xf numFmtId="0" fontId="19" fillId="5" borderId="6" xfId="2" applyFont="1" applyFill="1" applyBorder="1" applyAlignment="1" applyProtection="1">
      <alignment horizontal="center" vertical="center"/>
      <protection locked="0"/>
    </xf>
    <xf numFmtId="0" fontId="19" fillId="5" borderId="8" xfId="2" applyFont="1" applyFill="1" applyBorder="1" applyAlignment="1" applyProtection="1">
      <alignment horizontal="center" vertical="center"/>
      <protection locked="0"/>
    </xf>
    <xf numFmtId="0" fontId="19" fillId="4" borderId="14" xfId="2" applyFont="1" applyFill="1" applyBorder="1" applyAlignment="1" applyProtection="1">
      <alignment horizontal="center" vertical="center"/>
      <protection locked="0"/>
    </xf>
    <xf numFmtId="0" fontId="19" fillId="4" borderId="7" xfId="2" applyFont="1" applyFill="1" applyBorder="1" applyAlignment="1" applyProtection="1">
      <alignment horizontal="center" vertical="center"/>
      <protection locked="0"/>
    </xf>
    <xf numFmtId="0" fontId="19" fillId="4" borderId="27" xfId="2" applyFont="1" applyFill="1" applyBorder="1" applyAlignment="1" applyProtection="1">
      <alignment horizontal="center" vertical="center"/>
      <protection locked="0"/>
    </xf>
    <xf numFmtId="0" fontId="19" fillId="4" borderId="16" xfId="2" applyFont="1" applyFill="1" applyBorder="1" applyAlignment="1" applyProtection="1">
      <alignment horizontal="center" vertical="center"/>
      <protection locked="0"/>
    </xf>
    <xf numFmtId="0" fontId="19" fillId="4" borderId="6" xfId="2" applyFont="1" applyFill="1" applyBorder="1" applyAlignment="1" applyProtection="1">
      <alignment horizontal="center" vertical="center"/>
      <protection locked="0"/>
    </xf>
    <xf numFmtId="0" fontId="19" fillId="4" borderId="8" xfId="2" applyFont="1" applyFill="1" applyBorder="1" applyAlignment="1" applyProtection="1">
      <alignment horizontal="center" vertical="center"/>
      <protection locked="0"/>
    </xf>
    <xf numFmtId="0" fontId="19" fillId="5" borderId="51" xfId="2" applyFont="1" applyFill="1" applyBorder="1" applyAlignment="1" applyProtection="1">
      <alignment horizontal="center" vertical="center"/>
      <protection locked="0"/>
    </xf>
    <xf numFmtId="0" fontId="19" fillId="4" borderId="51" xfId="2" applyFont="1" applyFill="1" applyBorder="1" applyAlignment="1" applyProtection="1">
      <alignment horizontal="center" vertical="center"/>
      <protection locked="0"/>
    </xf>
    <xf numFmtId="0" fontId="19" fillId="6" borderId="27" xfId="2" applyFont="1" applyFill="1" applyBorder="1" applyAlignment="1" applyProtection="1">
      <alignment horizontal="center" vertical="center"/>
      <protection locked="0"/>
    </xf>
    <xf numFmtId="0" fontId="19" fillId="3" borderId="51" xfId="2" applyFont="1" applyFill="1" applyBorder="1" applyAlignment="1" applyProtection="1">
      <alignment horizontal="center" vertical="center"/>
      <protection locked="0"/>
    </xf>
    <xf numFmtId="0" fontId="19" fillId="0" borderId="36" xfId="2" applyFont="1" applyBorder="1" applyAlignment="1" applyProtection="1">
      <alignment vertical="center" wrapText="1"/>
      <protection locked="0"/>
    </xf>
    <xf numFmtId="0" fontId="3" fillId="0" borderId="4" xfId="2" applyFont="1" applyBorder="1" applyAlignment="1" applyProtection="1">
      <alignment vertical="center"/>
      <protection locked="0"/>
    </xf>
    <xf numFmtId="0" fontId="2" fillId="0" borderId="9" xfId="2" applyFont="1" applyBorder="1" applyAlignment="1" applyProtection="1">
      <alignment vertical="center"/>
      <protection locked="0"/>
    </xf>
    <xf numFmtId="0" fontId="19" fillId="6" borderId="47" xfId="2" applyFont="1" applyFill="1" applyBorder="1" applyAlignment="1" applyProtection="1">
      <alignment horizontal="center" vertical="center"/>
      <protection locked="0"/>
    </xf>
    <xf numFmtId="0" fontId="19" fillId="6" borderId="38" xfId="2" applyFont="1" applyFill="1" applyBorder="1" applyAlignment="1" applyProtection="1">
      <alignment horizontal="center" vertical="center"/>
      <protection locked="0"/>
    </xf>
    <xf numFmtId="9" fontId="13" fillId="0" borderId="45" xfId="2" applyNumberFormat="1" applyFont="1" applyBorder="1" applyAlignment="1">
      <alignment horizontal="center" vertical="center"/>
    </xf>
    <xf numFmtId="0" fontId="19" fillId="6" borderId="37" xfId="2" applyFont="1" applyFill="1" applyBorder="1" applyAlignment="1" applyProtection="1">
      <alignment horizontal="center" vertical="center"/>
      <protection locked="0"/>
    </xf>
    <xf numFmtId="0" fontId="19" fillId="0" borderId="52" xfId="2" applyFont="1" applyBorder="1" applyAlignment="1" applyProtection="1">
      <alignment vertical="center" wrapText="1"/>
      <protection locked="0"/>
    </xf>
    <xf numFmtId="0" fontId="2" fillId="0" borderId="34" xfId="2" applyFont="1" applyBorder="1" applyAlignment="1" applyProtection="1">
      <alignment vertical="center"/>
      <protection locked="0"/>
    </xf>
    <xf numFmtId="0" fontId="19" fillId="0" borderId="20" xfId="2" applyFont="1" applyBorder="1" applyAlignment="1" applyProtection="1">
      <alignment horizontal="left" vertical="center" wrapText="1"/>
      <protection locked="0"/>
    </xf>
    <xf numFmtId="0" fontId="19" fillId="0" borderId="21" xfId="2" applyFont="1" applyBorder="1" applyAlignment="1" applyProtection="1">
      <alignment horizontal="left" vertical="center" wrapText="1"/>
      <protection locked="0"/>
    </xf>
    <xf numFmtId="0" fontId="19" fillId="0" borderId="24" xfId="2" applyFont="1" applyBorder="1" applyAlignment="1" applyProtection="1">
      <alignment horizontal="left" vertical="center" wrapText="1"/>
      <protection locked="0"/>
    </xf>
    <xf numFmtId="0" fontId="19" fillId="0" borderId="26" xfId="2" applyFont="1" applyBorder="1" applyAlignment="1" applyProtection="1">
      <alignment horizontal="left" vertical="center" wrapText="1"/>
      <protection locked="0"/>
    </xf>
    <xf numFmtId="0" fontId="19" fillId="0" borderId="25" xfId="2" applyFont="1" applyBorder="1" applyAlignment="1" applyProtection="1">
      <alignment horizontal="left" vertical="center" wrapText="1"/>
      <protection locked="0"/>
    </xf>
    <xf numFmtId="0" fontId="2" fillId="0" borderId="0" xfId="2" applyFont="1" applyAlignment="1" applyProtection="1">
      <alignment horizontal="left" vertical="center"/>
      <protection locked="0"/>
    </xf>
    <xf numFmtId="0" fontId="19" fillId="0" borderId="20" xfId="2" applyFont="1" applyBorder="1" applyAlignment="1" applyProtection="1">
      <alignment vertical="center" wrapText="1"/>
      <protection locked="0"/>
    </xf>
    <xf numFmtId="0" fontId="19" fillId="0" borderId="22" xfId="2" applyFont="1" applyBorder="1" applyAlignment="1" applyProtection="1">
      <alignment vertical="center" wrapText="1"/>
      <protection locked="0"/>
    </xf>
    <xf numFmtId="0" fontId="19" fillId="0" borderId="21" xfId="2" applyFont="1" applyBorder="1" applyAlignment="1" applyProtection="1">
      <alignment vertical="center" wrapText="1"/>
      <protection locked="0"/>
    </xf>
    <xf numFmtId="0" fontId="19" fillId="0" borderId="24" xfId="2" applyFont="1" applyBorder="1" applyAlignment="1" applyProtection="1">
      <alignment vertical="center" wrapText="1"/>
      <protection locked="0"/>
    </xf>
    <xf numFmtId="0" fontId="19" fillId="0" borderId="26" xfId="2" applyFont="1" applyBorder="1" applyAlignment="1" applyProtection="1">
      <alignment vertical="center" wrapText="1"/>
      <protection locked="0"/>
    </xf>
    <xf numFmtId="0" fontId="19" fillId="0" borderId="25" xfId="2" applyFont="1" applyBorder="1" applyAlignment="1" applyProtection="1">
      <alignment vertical="center" wrapText="1"/>
      <protection locked="0"/>
    </xf>
    <xf numFmtId="0" fontId="18" fillId="2" borderId="48" xfId="2" applyFont="1" applyFill="1" applyBorder="1" applyAlignment="1" applyProtection="1">
      <alignment horizontal="center" vertical="center"/>
      <protection locked="0"/>
    </xf>
    <xf numFmtId="0" fontId="18" fillId="2" borderId="46" xfId="2" applyFont="1" applyFill="1" applyBorder="1" applyAlignment="1" applyProtection="1">
      <alignment horizontal="center" vertical="center"/>
      <protection locked="0"/>
    </xf>
    <xf numFmtId="0" fontId="18" fillId="2" borderId="47" xfId="2" applyFont="1" applyFill="1" applyBorder="1" applyAlignment="1" applyProtection="1">
      <alignment horizontal="center" vertical="center"/>
      <protection locked="0"/>
    </xf>
    <xf numFmtId="0" fontId="17" fillId="0" borderId="33" xfId="2" applyFont="1" applyBorder="1" applyAlignment="1" applyProtection="1">
      <alignment horizontal="center" vertical="center" textRotation="90"/>
      <protection locked="0"/>
    </xf>
    <xf numFmtId="0" fontId="17" fillId="0" borderId="34" xfId="2" applyFont="1" applyBorder="1" applyAlignment="1" applyProtection="1">
      <alignment horizontal="center" vertical="center" textRotation="90"/>
      <protection locked="0"/>
    </xf>
    <xf numFmtId="0" fontId="17" fillId="0" borderId="12" xfId="2" applyFont="1" applyBorder="1" applyAlignment="1" applyProtection="1">
      <alignment horizontal="center" vertical="center" textRotation="90"/>
      <protection locked="0"/>
    </xf>
    <xf numFmtId="0" fontId="19" fillId="0" borderId="28" xfId="2" applyFont="1" applyBorder="1" applyAlignment="1" applyProtection="1">
      <alignment horizontal="left" vertical="center" wrapText="1"/>
      <protection locked="0"/>
    </xf>
    <xf numFmtId="0" fontId="19" fillId="0" borderId="30" xfId="2" applyFont="1" applyBorder="1" applyAlignment="1" applyProtection="1">
      <alignment horizontal="left" vertical="center" wrapText="1"/>
      <protection locked="0"/>
    </xf>
    <xf numFmtId="0" fontId="19" fillId="0" borderId="29" xfId="2" applyFont="1" applyBorder="1" applyAlignment="1" applyProtection="1">
      <alignment horizontal="left" vertical="center" wrapText="1"/>
      <protection locked="0"/>
    </xf>
    <xf numFmtId="0" fontId="19" fillId="0" borderId="22" xfId="2" applyFont="1" applyBorder="1" applyAlignment="1" applyProtection="1">
      <alignment horizontal="left" vertical="center" wrapText="1"/>
      <protection locked="0"/>
    </xf>
    <xf numFmtId="0" fontId="19" fillId="0" borderId="43" xfId="2" applyFont="1" applyBorder="1" applyAlignment="1" applyProtection="1">
      <alignment horizontal="left" vertical="center" wrapText="1"/>
      <protection locked="0"/>
    </xf>
    <xf numFmtId="0" fontId="19" fillId="0" borderId="44" xfId="2" applyFont="1" applyBorder="1" applyAlignment="1" applyProtection="1">
      <alignment horizontal="left" vertical="center" wrapText="1"/>
      <protection locked="0"/>
    </xf>
    <xf numFmtId="0" fontId="22" fillId="0" borderId="43" xfId="2" applyFont="1" applyBorder="1" applyAlignment="1" applyProtection="1">
      <alignment horizontal="left" vertical="center" wrapText="1"/>
      <protection locked="0"/>
    </xf>
    <xf numFmtId="0" fontId="22" fillId="0" borderId="50" xfId="2" applyFont="1" applyBorder="1" applyAlignment="1" applyProtection="1">
      <alignment horizontal="left" vertical="center" wrapText="1"/>
      <protection locked="0"/>
    </xf>
    <xf numFmtId="0" fontId="22" fillId="0" borderId="44" xfId="2" applyFont="1" applyBorder="1" applyAlignment="1" applyProtection="1">
      <alignment horizontal="left" vertical="center" wrapText="1"/>
      <protection locked="0"/>
    </xf>
    <xf numFmtId="0" fontId="22" fillId="5" borderId="20" xfId="2" applyFont="1" applyFill="1" applyBorder="1" applyAlignment="1" applyProtection="1">
      <alignment horizontal="left" vertical="center" wrapText="1"/>
      <protection locked="0"/>
    </xf>
    <xf numFmtId="0" fontId="22" fillId="5" borderId="21" xfId="2" applyFont="1" applyFill="1" applyBorder="1" applyAlignment="1" applyProtection="1">
      <alignment horizontal="left" vertical="center" wrapText="1"/>
      <protection locked="0"/>
    </xf>
    <xf numFmtId="0" fontId="22" fillId="5" borderId="22" xfId="2" applyFont="1" applyFill="1" applyBorder="1" applyAlignment="1" applyProtection="1">
      <alignment horizontal="left" vertical="center" wrapText="1"/>
      <protection locked="0"/>
    </xf>
    <xf numFmtId="0" fontId="19" fillId="0" borderId="41" xfId="2" applyFont="1" applyBorder="1" applyAlignment="1" applyProtection="1">
      <alignment horizontal="left" vertical="center" wrapText="1"/>
      <protection locked="0"/>
    </xf>
    <xf numFmtId="0" fontId="19" fillId="0" borderId="42" xfId="2" applyFont="1" applyBorder="1" applyAlignment="1" applyProtection="1">
      <alignment horizontal="left" vertical="center" wrapText="1"/>
      <protection locked="0"/>
    </xf>
    <xf numFmtId="0" fontId="19" fillId="0" borderId="49" xfId="2" applyFont="1" applyBorder="1" applyAlignment="1" applyProtection="1">
      <alignment horizontal="left" vertical="center" wrapText="1"/>
      <protection locked="0"/>
    </xf>
    <xf numFmtId="0" fontId="22" fillId="0" borderId="28" xfId="2" applyFont="1" applyBorder="1" applyAlignment="1" applyProtection="1">
      <alignment horizontal="left" vertical="center" wrapText="1"/>
      <protection locked="0"/>
    </xf>
    <xf numFmtId="0" fontId="22" fillId="0" borderId="29" xfId="2" applyFont="1" applyBorder="1" applyAlignment="1" applyProtection="1">
      <alignment horizontal="left" vertical="center" wrapText="1"/>
      <protection locked="0"/>
    </xf>
    <xf numFmtId="0" fontId="22" fillId="0" borderId="30" xfId="2" applyFont="1" applyBorder="1" applyAlignment="1" applyProtection="1">
      <alignment horizontal="left" vertical="center" wrapText="1"/>
      <protection locked="0"/>
    </xf>
    <xf numFmtId="0" fontId="22" fillId="0" borderId="20" xfId="2" applyFont="1" applyBorder="1" applyAlignment="1" applyProtection="1">
      <alignment horizontal="left" vertical="center" wrapText="1"/>
      <protection locked="0"/>
    </xf>
    <xf numFmtId="0" fontId="22" fillId="0" borderId="22" xfId="2" applyFont="1" applyBorder="1" applyAlignment="1" applyProtection="1">
      <alignment horizontal="left" vertical="center" wrapText="1"/>
      <protection locked="0"/>
    </xf>
    <xf numFmtId="0" fontId="22" fillId="0" borderId="21" xfId="2" applyFont="1" applyBorder="1" applyAlignment="1" applyProtection="1">
      <alignment horizontal="left" vertical="center" wrapText="1"/>
      <protection locked="0"/>
    </xf>
    <xf numFmtId="0" fontId="15" fillId="0" borderId="20" xfId="2" applyFont="1" applyBorder="1" applyAlignment="1" applyProtection="1">
      <alignment horizontal="left" vertical="center"/>
      <protection locked="0"/>
    </xf>
    <xf numFmtId="0" fontId="15" fillId="0" borderId="22" xfId="2" applyFont="1" applyBorder="1" applyAlignment="1" applyProtection="1">
      <alignment horizontal="left" vertical="center"/>
      <protection locked="0"/>
    </xf>
    <xf numFmtId="0" fontId="15" fillId="0" borderId="21" xfId="2" applyFont="1" applyBorder="1" applyAlignment="1" applyProtection="1">
      <alignment horizontal="left" vertical="center"/>
      <protection locked="0"/>
    </xf>
    <xf numFmtId="0" fontId="4" fillId="0" borderId="4" xfId="2" applyFont="1" applyBorder="1" applyAlignment="1" applyProtection="1">
      <alignment horizontal="center" vertical="center"/>
      <protection locked="0"/>
    </xf>
    <xf numFmtId="0" fontId="4" fillId="0" borderId="0" xfId="2" applyFont="1" applyAlignment="1" applyProtection="1">
      <alignment horizontal="center" vertical="center"/>
      <protection locked="0"/>
    </xf>
    <xf numFmtId="0" fontId="4" fillId="0" borderId="5" xfId="2" applyFont="1" applyBorder="1" applyAlignment="1" applyProtection="1">
      <alignment horizontal="center" vertical="center"/>
      <protection locked="0"/>
    </xf>
    <xf numFmtId="0" fontId="7" fillId="2" borderId="6" xfId="2" applyFont="1" applyFill="1" applyBorder="1" applyAlignment="1" applyProtection="1">
      <alignment horizontal="center" vertical="center" wrapText="1"/>
      <protection locked="0"/>
    </xf>
    <xf numFmtId="0" fontId="7" fillId="2" borderId="8" xfId="2" applyFont="1" applyFill="1" applyBorder="1" applyAlignment="1" applyProtection="1">
      <alignment horizontal="center" vertical="center" wrapText="1"/>
      <protection locked="0"/>
    </xf>
    <xf numFmtId="0" fontId="8" fillId="2" borderId="6" xfId="2" applyFont="1" applyFill="1" applyBorder="1" applyAlignment="1" applyProtection="1">
      <alignment horizontal="center" vertical="center" wrapText="1"/>
      <protection locked="0"/>
    </xf>
    <xf numFmtId="0" fontId="8" fillId="2" borderId="8" xfId="2" applyFont="1" applyFill="1" applyBorder="1" applyAlignment="1" applyProtection="1">
      <alignment horizontal="center" vertical="center" wrapText="1"/>
      <protection locked="0"/>
    </xf>
    <xf numFmtId="9" fontId="11" fillId="0" borderId="41" xfId="1" applyFont="1" applyBorder="1" applyAlignment="1" applyProtection="1">
      <alignment horizontal="center" vertical="center" wrapText="1"/>
      <protection locked="0"/>
    </xf>
    <xf numFmtId="9" fontId="11" fillId="0" borderId="49" xfId="1" applyFont="1" applyBorder="1" applyAlignment="1" applyProtection="1">
      <alignment horizontal="center" vertical="center" wrapText="1"/>
      <protection locked="0"/>
    </xf>
    <xf numFmtId="9" fontId="11" fillId="0" borderId="42" xfId="1" applyFont="1" applyBorder="1" applyAlignment="1" applyProtection="1">
      <alignment horizontal="center" vertical="center" wrapText="1"/>
      <protection locked="0"/>
    </xf>
    <xf numFmtId="9" fontId="11" fillId="0" borderId="43" xfId="1" applyFont="1" applyBorder="1" applyAlignment="1" applyProtection="1">
      <alignment horizontal="center" vertical="center" wrapText="1"/>
      <protection locked="0"/>
    </xf>
    <xf numFmtId="9" fontId="11" fillId="0" borderId="50" xfId="1" applyFont="1" applyBorder="1" applyAlignment="1" applyProtection="1">
      <alignment horizontal="center" vertical="center" wrapText="1"/>
      <protection locked="0"/>
    </xf>
    <xf numFmtId="9" fontId="11" fillId="0" borderId="44" xfId="1" applyFont="1" applyBorder="1" applyAlignment="1" applyProtection="1">
      <alignment horizontal="center" vertical="center" wrapText="1"/>
      <protection locked="0"/>
    </xf>
    <xf numFmtId="0" fontId="12" fillId="0" borderId="5" xfId="2" applyFont="1" applyBorder="1" applyAlignment="1" applyProtection="1">
      <alignment horizontal="center" vertical="center" wrapText="1"/>
      <protection locked="0"/>
    </xf>
    <xf numFmtId="0" fontId="17" fillId="0" borderId="1" xfId="2" applyFont="1" applyBorder="1" applyAlignment="1" applyProtection="1">
      <alignment horizontal="center" vertical="center"/>
      <protection locked="0"/>
    </xf>
    <xf numFmtId="0" fontId="17" fillId="0" borderId="2" xfId="2" applyFont="1" applyBorder="1" applyAlignment="1" applyProtection="1">
      <alignment horizontal="center" vertical="center"/>
      <protection locked="0"/>
    </xf>
    <xf numFmtId="0" fontId="17" fillId="0" borderId="9" xfId="2" applyFont="1" applyBorder="1" applyAlignment="1" applyProtection="1">
      <alignment horizontal="center" vertical="center"/>
      <protection locked="0"/>
    </xf>
    <xf numFmtId="0" fontId="17" fillId="0" borderId="10" xfId="2" applyFont="1" applyBorder="1" applyAlignment="1" applyProtection="1">
      <alignment horizontal="center" vertical="center"/>
      <protection locked="0"/>
    </xf>
    <xf numFmtId="0" fontId="17" fillId="0" borderId="45" xfId="2" applyFont="1" applyBorder="1" applyAlignment="1" applyProtection="1">
      <alignment horizontal="center" vertical="center"/>
      <protection locked="0"/>
    </xf>
    <xf numFmtId="0" fontId="17" fillId="0" borderId="47" xfId="2" applyFont="1" applyBorder="1" applyAlignment="1" applyProtection="1">
      <alignment horizontal="center" vertical="center"/>
      <protection locked="0"/>
    </xf>
    <xf numFmtId="0" fontId="17" fillId="0" borderId="46" xfId="2" applyFont="1" applyBorder="1" applyAlignment="1" applyProtection="1">
      <alignment horizontal="center" vertical="center"/>
      <protection locked="0"/>
    </xf>
  </cellXfs>
  <cellStyles count="7">
    <cellStyle name="Hyperlink 2" xfId="3" xr:uid="{00000000-0005-0000-0000-000000000000}"/>
    <cellStyle name="Normal" xfId="0" builtinId="0"/>
    <cellStyle name="Normal - Style1" xfId="4" xr:uid="{00000000-0005-0000-0000-000002000000}"/>
    <cellStyle name="Normal 2" xfId="2" xr:uid="{00000000-0005-0000-0000-000003000000}"/>
    <cellStyle name="Porcentaje" xfId="1" builtinId="5"/>
    <cellStyle name="Standard_NEGS" xfId="5" xr:uid="{00000000-0005-0000-0000-000005000000}"/>
    <cellStyle name="Обычный_Abnormality_Report_Summary_Site_2010_2010.07.02" xfId="6" xr:uid="{00000000-0005-0000-0000-000006000000}"/>
  </cellStyles>
  <dxfs count="3"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3.png"/><Relationship Id="rId7" Type="http://schemas.openxmlformats.org/officeDocument/2006/relationships/image" Target="cid:image001.png@01D40C82.7C821A50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6" Type="http://schemas.openxmlformats.org/officeDocument/2006/relationships/image" Target="../media/image6.png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190499</xdr:colOff>
      <xdr:row>4</xdr:row>
      <xdr:rowOff>95250</xdr:rowOff>
    </xdr:from>
    <xdr:to>
      <xdr:col>14</xdr:col>
      <xdr:colOff>1838960</xdr:colOff>
      <xdr:row>8</xdr:row>
      <xdr:rowOff>152400</xdr:rowOff>
    </xdr:to>
    <xdr:pic>
      <xdr:nvPicPr>
        <xdr:cNvPr id="2" name="3 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267699" y="1133475"/>
          <a:ext cx="1648461" cy="1123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100852</xdr:colOff>
      <xdr:row>1</xdr:row>
      <xdr:rowOff>78441</xdr:rowOff>
    </xdr:from>
    <xdr:to>
      <xdr:col>4</xdr:col>
      <xdr:colOff>392206</xdr:colOff>
      <xdr:row>3</xdr:row>
      <xdr:rowOff>134471</xdr:rowOff>
    </xdr:to>
    <xdr:grpSp>
      <xdr:nvGrpSpPr>
        <xdr:cNvPr id="11" name="Agrupar 53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pSpPr/>
      </xdr:nvGrpSpPr>
      <xdr:grpSpPr>
        <a:xfrm>
          <a:off x="243727" y="307041"/>
          <a:ext cx="958104" cy="646580"/>
          <a:chOff x="9643538" y="587803"/>
          <a:chExt cx="1957732" cy="1789917"/>
        </a:xfrm>
      </xdr:grpSpPr>
      <xdr:grpSp>
        <xdr:nvGrpSpPr>
          <xdr:cNvPr id="12" name="Agrupar 54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GrpSpPr/>
        </xdr:nvGrpSpPr>
        <xdr:grpSpPr>
          <a:xfrm>
            <a:off x="9643538" y="587803"/>
            <a:ext cx="1957732" cy="1789917"/>
            <a:chOff x="9787811" y="841465"/>
            <a:chExt cx="1680289" cy="1536255"/>
          </a:xfrm>
        </xdr:grpSpPr>
        <xdr:pic>
          <xdr:nvPicPr>
            <xdr:cNvPr id="14" name="Imagem 56" descr="Fundo preto com letras brancas&#10;&#10;Descrição gerada automaticamente">
              <a:extLst>
                <a:ext uri="{FF2B5EF4-FFF2-40B4-BE49-F238E27FC236}">
                  <a16:creationId xmlns:a16="http://schemas.microsoft.com/office/drawing/2014/main" id="{00000000-0008-0000-0000-00000E000000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2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19468" r="21176" b="-4299"/>
            <a:stretch/>
          </xdr:blipFill>
          <xdr:spPr>
            <a:xfrm>
              <a:off x="9787811" y="2032607"/>
              <a:ext cx="1680289" cy="345113"/>
            </a:xfrm>
            <a:prstGeom prst="rect">
              <a:avLst/>
            </a:prstGeom>
          </xdr:spPr>
        </xdr:pic>
        <xdr:pic>
          <xdr:nvPicPr>
            <xdr:cNvPr id="15" name="Imagem 57" descr="Uma imagem contendo mesa, vermelho, escuro, laranja&#10;&#10;Descrição gerada automaticamente">
              <a:extLst>
                <a:ext uri="{FF2B5EF4-FFF2-40B4-BE49-F238E27FC236}">
                  <a16:creationId xmlns:a16="http://schemas.microsoft.com/office/drawing/2014/main" id="{00000000-0008-0000-0000-00000F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grayscl/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 rot="414010">
              <a:off x="10046727" y="841465"/>
              <a:ext cx="1152042" cy="1425800"/>
            </a:xfrm>
            <a:prstGeom prst="rect">
              <a:avLst/>
            </a:prstGeom>
          </xdr:spPr>
        </xdr:pic>
      </xdr:grpSp>
      <xdr:pic>
        <xdr:nvPicPr>
          <xdr:cNvPr id="13" name="Gráfico 55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363200" y="1571977"/>
            <a:ext cx="540544" cy="540544"/>
          </a:xfrm>
          <a:prstGeom prst="rect">
            <a:avLst/>
          </a:prstGeom>
        </xdr:spPr>
      </xdr:pic>
    </xdr:grpSp>
    <xdr:clientData/>
  </xdr:twoCellAnchor>
  <xdr:twoCellAnchor editAs="oneCell">
    <xdr:from>
      <xdr:col>4</xdr:col>
      <xdr:colOff>224117</xdr:colOff>
      <xdr:row>1</xdr:row>
      <xdr:rowOff>44823</xdr:rowOff>
    </xdr:from>
    <xdr:to>
      <xdr:col>7</xdr:col>
      <xdr:colOff>561142</xdr:colOff>
      <xdr:row>3</xdr:row>
      <xdr:rowOff>168173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4010" b="14736"/>
        <a:stretch/>
      </xdr:blipFill>
      <xdr:spPr bwMode="auto">
        <a:xfrm>
          <a:off x="1042146" y="268941"/>
          <a:ext cx="2051525" cy="717261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  <xdr:twoCellAnchor>
    <xdr:from>
      <xdr:col>12</xdr:col>
      <xdr:colOff>537881</xdr:colOff>
      <xdr:row>1</xdr:row>
      <xdr:rowOff>201704</xdr:rowOff>
    </xdr:from>
    <xdr:to>
      <xdr:col>14</xdr:col>
      <xdr:colOff>736528</xdr:colOff>
      <xdr:row>3</xdr:row>
      <xdr:rowOff>115714</xdr:rowOff>
    </xdr:to>
    <xdr:pic>
      <xdr:nvPicPr>
        <xdr:cNvPr id="17" name="Imagen 2" descr="cid:image001.png@01D40C82.7C821A50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95881" y="425822"/>
          <a:ext cx="1408882" cy="5079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840443</xdr:colOff>
      <xdr:row>1</xdr:row>
      <xdr:rowOff>192178</xdr:rowOff>
    </xdr:from>
    <xdr:to>
      <xdr:col>14</xdr:col>
      <xdr:colOff>1826163</xdr:colOff>
      <xdr:row>3</xdr:row>
      <xdr:rowOff>11206</xdr:rowOff>
    </xdr:to>
    <xdr:pic>
      <xdr:nvPicPr>
        <xdr:cNvPr id="18" name="Gráfico 6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8908678" y="416296"/>
          <a:ext cx="985720" cy="4129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P52"/>
  <sheetViews>
    <sheetView showGridLines="0" tabSelected="1" topLeftCell="B4" zoomScaleNormal="100" workbookViewId="0">
      <selection activeCell="O15" sqref="O15"/>
    </sheetView>
  </sheetViews>
  <sheetFormatPr defaultColWidth="0" defaultRowHeight="15" zeroHeight="1"/>
  <cols>
    <col min="1" max="1" width="9.140625" hidden="1" customWidth="1"/>
    <col min="2" max="2" width="2.140625" customWidth="1"/>
    <col min="3" max="4" width="5" bestFit="1" customWidth="1"/>
    <col min="5" max="9" width="8.5703125" bestFit="1" customWidth="1"/>
    <col min="10" max="10" width="3.7109375" customWidth="1"/>
    <col min="11" max="11" width="35" bestFit="1" customWidth="1"/>
    <col min="12" max="14" width="9.140625" customWidth="1"/>
    <col min="15" max="15" width="29.7109375" bestFit="1" customWidth="1"/>
    <col min="16" max="16" width="1.5703125" customWidth="1"/>
    <col min="17" max="16384" width="9.140625" hidden="1"/>
  </cols>
  <sheetData>
    <row r="1" spans="1:16" ht="18" thickBot="1">
      <c r="A1" s="1" t="s">
        <v>0</v>
      </c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7.25">
      <c r="A2" s="1"/>
      <c r="B2" s="75"/>
      <c r="C2" s="3"/>
      <c r="D2" s="4"/>
      <c r="E2" s="5"/>
      <c r="F2" s="5"/>
      <c r="G2" s="5"/>
      <c r="H2" s="5"/>
      <c r="I2" s="5"/>
      <c r="J2" s="5"/>
      <c r="K2" s="5"/>
      <c r="L2" s="5"/>
      <c r="M2" s="5"/>
      <c r="N2" s="5"/>
      <c r="O2" s="6"/>
      <c r="P2" s="1"/>
    </row>
    <row r="3" spans="1:16" ht="29.25">
      <c r="A3" s="1"/>
      <c r="B3" s="68"/>
      <c r="C3" s="118" t="s">
        <v>1</v>
      </c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20"/>
      <c r="P3" s="7"/>
    </row>
    <row r="4" spans="1:16" ht="17.25">
      <c r="A4" s="1"/>
      <c r="B4" s="8"/>
      <c r="C4" s="8"/>
      <c r="D4" s="2"/>
      <c r="E4" s="1"/>
      <c r="F4" s="1"/>
      <c r="G4" s="1"/>
      <c r="H4" s="1"/>
      <c r="I4" s="1"/>
      <c r="J4" s="1"/>
      <c r="K4" s="1"/>
      <c r="L4" s="1"/>
      <c r="M4" s="1"/>
      <c r="N4" s="1"/>
      <c r="O4" s="9"/>
      <c r="P4" s="10"/>
    </row>
    <row r="5" spans="1:16" ht="28.5" customHeight="1">
      <c r="A5" s="1"/>
      <c r="B5" s="8"/>
      <c r="C5" s="8"/>
      <c r="D5" s="121" t="s">
        <v>2</v>
      </c>
      <c r="E5" s="11" t="s">
        <v>3</v>
      </c>
      <c r="F5" s="11" t="s">
        <v>4</v>
      </c>
      <c r="G5" s="11" t="s">
        <v>5</v>
      </c>
      <c r="H5" s="11" t="s">
        <v>6</v>
      </c>
      <c r="I5" s="11" t="s">
        <v>7</v>
      </c>
      <c r="J5" s="12"/>
      <c r="K5" s="123" t="s">
        <v>8</v>
      </c>
      <c r="L5" s="125">
        <f>SUM(N18,N23,N29,N33,N38)/17</f>
        <v>0</v>
      </c>
      <c r="M5" s="126"/>
      <c r="N5" s="127"/>
      <c r="O5" s="131"/>
      <c r="P5" s="1"/>
    </row>
    <row r="6" spans="1:16" ht="20.25" customHeight="1">
      <c r="A6" s="1"/>
      <c r="B6" s="8"/>
      <c r="C6" s="8"/>
      <c r="D6" s="122"/>
      <c r="E6" s="13">
        <f>+K18</f>
        <v>0</v>
      </c>
      <c r="F6" s="13">
        <f>+K23</f>
        <v>0</v>
      </c>
      <c r="G6" s="13">
        <f>+K29</f>
        <v>0</v>
      </c>
      <c r="H6" s="13">
        <f>+K33</f>
        <v>0</v>
      </c>
      <c r="I6" s="13">
        <f>+K38</f>
        <v>0</v>
      </c>
      <c r="J6" s="12"/>
      <c r="K6" s="124"/>
      <c r="L6" s="128"/>
      <c r="M6" s="129"/>
      <c r="N6" s="130"/>
      <c r="O6" s="131"/>
      <c r="P6" s="1"/>
    </row>
    <row r="7" spans="1:16" ht="18" customHeight="1">
      <c r="A7" s="1"/>
      <c r="B7" s="8"/>
      <c r="C7" s="8"/>
      <c r="D7" s="14"/>
      <c r="E7" s="15"/>
      <c r="F7" s="16"/>
      <c r="G7" s="15"/>
      <c r="H7" s="15"/>
      <c r="I7" s="15"/>
      <c r="J7" s="12"/>
      <c r="K7" s="17"/>
      <c r="L7" s="17"/>
      <c r="M7" s="17"/>
      <c r="N7" s="17"/>
      <c r="O7" s="131"/>
      <c r="P7" s="1"/>
    </row>
    <row r="8" spans="1:16" ht="17.25">
      <c r="A8" s="1"/>
      <c r="B8" s="8"/>
      <c r="C8" s="8"/>
      <c r="D8" s="115" t="s">
        <v>9</v>
      </c>
      <c r="E8" s="116"/>
      <c r="F8" s="117"/>
      <c r="G8" s="115" t="s">
        <v>10</v>
      </c>
      <c r="H8" s="116"/>
      <c r="I8" s="117"/>
      <c r="J8" s="18"/>
      <c r="K8" s="115" t="s">
        <v>11</v>
      </c>
      <c r="L8" s="116"/>
      <c r="M8" s="116"/>
      <c r="N8" s="117"/>
      <c r="O8" s="19"/>
      <c r="P8" s="1"/>
    </row>
    <row r="9" spans="1:16" ht="17.25">
      <c r="A9" s="1"/>
      <c r="B9" s="8"/>
      <c r="C9" s="8"/>
      <c r="D9" s="115" t="s">
        <v>12</v>
      </c>
      <c r="E9" s="116"/>
      <c r="F9" s="116"/>
      <c r="G9" s="116"/>
      <c r="H9" s="116"/>
      <c r="I9" s="117"/>
      <c r="J9" s="18"/>
      <c r="K9" s="115" t="s">
        <v>13</v>
      </c>
      <c r="L9" s="116"/>
      <c r="M9" s="116"/>
      <c r="N9" s="117"/>
      <c r="O9" s="19"/>
      <c r="P9" s="1"/>
    </row>
    <row r="10" spans="1:16" ht="17.25">
      <c r="A10" s="1"/>
      <c r="B10" s="8"/>
      <c r="C10" s="8"/>
      <c r="D10" s="20"/>
      <c r="E10" s="20"/>
      <c r="F10" s="20"/>
      <c r="G10" s="20"/>
      <c r="H10" s="20"/>
      <c r="I10" s="20"/>
      <c r="J10" s="18"/>
      <c r="K10" s="115" t="s">
        <v>14</v>
      </c>
      <c r="L10" s="116"/>
      <c r="M10" s="116"/>
      <c r="N10" s="117"/>
      <c r="O10" s="19"/>
      <c r="P10" s="1"/>
    </row>
    <row r="11" spans="1:16" ht="18" thickBot="1">
      <c r="A11" s="1"/>
      <c r="B11" s="8"/>
      <c r="C11" s="8"/>
      <c r="D11" s="2"/>
      <c r="E11" s="1"/>
      <c r="F11" s="1"/>
      <c r="G11" s="1"/>
      <c r="H11" s="1"/>
      <c r="I11" s="1"/>
      <c r="J11" s="1"/>
      <c r="K11" s="1"/>
      <c r="L11" s="1"/>
      <c r="M11" s="1"/>
      <c r="N11" s="1"/>
      <c r="O11" s="21"/>
      <c r="P11" s="1"/>
    </row>
    <row r="12" spans="1:16" ht="17.25">
      <c r="A12" s="1"/>
      <c r="B12" s="8"/>
      <c r="C12" s="8"/>
      <c r="D12" s="132" t="s">
        <v>15</v>
      </c>
      <c r="E12" s="133"/>
      <c r="F12" s="133"/>
      <c r="G12" s="133"/>
      <c r="H12" s="133"/>
      <c r="I12" s="133"/>
      <c r="J12" s="133"/>
      <c r="K12" s="133"/>
      <c r="L12" s="133"/>
      <c r="M12" s="133"/>
      <c r="N12" s="133"/>
      <c r="O12" s="22"/>
      <c r="P12" s="1"/>
    </row>
    <row r="13" spans="1:16" ht="18" thickBot="1">
      <c r="A13" s="1"/>
      <c r="B13" s="8"/>
      <c r="C13" s="8"/>
      <c r="D13" s="134"/>
      <c r="E13" s="135"/>
      <c r="F13" s="135"/>
      <c r="G13" s="135"/>
      <c r="H13" s="135"/>
      <c r="I13" s="135"/>
      <c r="J13" s="135"/>
      <c r="K13" s="135"/>
      <c r="L13" s="135"/>
      <c r="M13" s="135"/>
      <c r="N13" s="135"/>
      <c r="O13" s="23"/>
      <c r="P13" s="1"/>
    </row>
    <row r="14" spans="1:16" ht="18" thickBot="1">
      <c r="A14" s="1"/>
      <c r="B14" s="8"/>
      <c r="C14" s="24"/>
      <c r="D14" s="25" t="s">
        <v>16</v>
      </c>
      <c r="E14" s="136" t="s">
        <v>17</v>
      </c>
      <c r="F14" s="137"/>
      <c r="G14" s="136" t="s">
        <v>18</v>
      </c>
      <c r="H14" s="138"/>
      <c r="I14" s="138"/>
      <c r="J14" s="138"/>
      <c r="K14" s="137"/>
      <c r="L14" s="26">
        <v>0</v>
      </c>
      <c r="M14" s="26">
        <v>1</v>
      </c>
      <c r="N14" s="26">
        <v>3</v>
      </c>
      <c r="O14" s="27" t="s">
        <v>19</v>
      </c>
      <c r="P14" s="2"/>
    </row>
    <row r="15" spans="1:16" ht="36" customHeight="1">
      <c r="A15" s="1"/>
      <c r="B15" s="8"/>
      <c r="C15" s="91" t="s">
        <v>20</v>
      </c>
      <c r="D15" s="28">
        <v>1</v>
      </c>
      <c r="E15" s="94" t="s">
        <v>21</v>
      </c>
      <c r="F15" s="95"/>
      <c r="G15" s="94" t="s">
        <v>22</v>
      </c>
      <c r="H15" s="96"/>
      <c r="I15" s="96"/>
      <c r="J15" s="96"/>
      <c r="K15" s="95"/>
      <c r="L15" s="29"/>
      <c r="M15" s="51"/>
      <c r="N15" s="57"/>
      <c r="O15" s="30"/>
      <c r="P15" s="31"/>
    </row>
    <row r="16" spans="1:16" ht="36" customHeight="1">
      <c r="A16" s="1"/>
      <c r="B16" s="8"/>
      <c r="C16" s="92"/>
      <c r="D16" s="32">
        <v>2</v>
      </c>
      <c r="E16" s="76" t="s">
        <v>23</v>
      </c>
      <c r="F16" s="77"/>
      <c r="G16" s="76" t="s">
        <v>24</v>
      </c>
      <c r="H16" s="97"/>
      <c r="I16" s="97"/>
      <c r="J16" s="97"/>
      <c r="K16" s="77"/>
      <c r="L16" s="33"/>
      <c r="M16" s="52"/>
      <c r="N16" s="58"/>
      <c r="O16" s="34"/>
      <c r="P16" s="1"/>
    </row>
    <row r="17" spans="1:16" ht="36" customHeight="1" thickBot="1">
      <c r="A17" s="1"/>
      <c r="B17" s="8"/>
      <c r="C17" s="92"/>
      <c r="D17" s="43">
        <v>3</v>
      </c>
      <c r="E17" s="106" t="s">
        <v>25</v>
      </c>
      <c r="F17" s="107"/>
      <c r="G17" s="106" t="s">
        <v>26</v>
      </c>
      <c r="H17" s="108"/>
      <c r="I17" s="108"/>
      <c r="J17" s="108"/>
      <c r="K17" s="107"/>
      <c r="L17" s="44"/>
      <c r="M17" s="55"/>
      <c r="N17" s="61"/>
      <c r="O17" s="34"/>
      <c r="P17" s="31"/>
    </row>
    <row r="18" spans="1:16" ht="21" thickBot="1">
      <c r="A18" s="1"/>
      <c r="B18" s="8"/>
      <c r="C18" s="93"/>
      <c r="D18" s="88" t="s">
        <v>3</v>
      </c>
      <c r="E18" s="89"/>
      <c r="F18" s="89"/>
      <c r="G18" s="89"/>
      <c r="H18" s="89"/>
      <c r="I18" s="89"/>
      <c r="J18" s="90"/>
      <c r="K18" s="47">
        <f>+SUM(L18:N18)/COUNTA(G15:K17)</f>
        <v>0</v>
      </c>
      <c r="L18" s="70">
        <f>+SUM(L15:L17)</f>
        <v>0</v>
      </c>
      <c r="M18" s="71">
        <f>+SUM(M15:M17)</f>
        <v>0</v>
      </c>
      <c r="N18" s="71">
        <f>+SUM(N15:N17)</f>
        <v>0</v>
      </c>
      <c r="O18" s="48"/>
      <c r="P18" s="31"/>
    </row>
    <row r="19" spans="1:16" ht="34.5" customHeight="1">
      <c r="A19" s="1"/>
      <c r="B19" s="8"/>
      <c r="C19" s="91" t="s">
        <v>27</v>
      </c>
      <c r="D19" s="28">
        <v>6</v>
      </c>
      <c r="E19" s="94" t="s">
        <v>28</v>
      </c>
      <c r="F19" s="95"/>
      <c r="G19" s="109" t="s">
        <v>29</v>
      </c>
      <c r="H19" s="110"/>
      <c r="I19" s="110"/>
      <c r="J19" s="110"/>
      <c r="K19" s="111"/>
      <c r="L19" s="40"/>
      <c r="M19" s="54"/>
      <c r="N19" s="60"/>
      <c r="O19" s="30"/>
      <c r="P19" s="31"/>
    </row>
    <row r="20" spans="1:16" ht="47.25" customHeight="1">
      <c r="A20" s="1"/>
      <c r="B20" s="8"/>
      <c r="C20" s="92"/>
      <c r="D20" s="32">
        <v>7</v>
      </c>
      <c r="E20" s="76" t="s">
        <v>30</v>
      </c>
      <c r="F20" s="77"/>
      <c r="G20" s="76" t="s">
        <v>31</v>
      </c>
      <c r="H20" s="97"/>
      <c r="I20" s="97"/>
      <c r="J20" s="97"/>
      <c r="K20" s="77"/>
      <c r="L20" s="33"/>
      <c r="M20" s="52"/>
      <c r="N20" s="58"/>
      <c r="O20" s="41"/>
      <c r="P20" s="31"/>
    </row>
    <row r="21" spans="1:16" ht="17.25" customHeight="1">
      <c r="A21" s="1"/>
      <c r="B21" s="8"/>
      <c r="C21" s="92"/>
      <c r="D21" s="32">
        <v>8</v>
      </c>
      <c r="E21" s="76" t="s">
        <v>32</v>
      </c>
      <c r="F21" s="77"/>
      <c r="G21" s="112" t="s">
        <v>33</v>
      </c>
      <c r="H21" s="113"/>
      <c r="I21" s="113"/>
      <c r="J21" s="113"/>
      <c r="K21" s="114"/>
      <c r="L21" s="33"/>
      <c r="M21" s="52"/>
      <c r="N21" s="58"/>
      <c r="O21" s="42"/>
      <c r="P21" s="1"/>
    </row>
    <row r="22" spans="1:16" ht="17.25" customHeight="1" thickBot="1">
      <c r="A22" s="1"/>
      <c r="B22" s="8"/>
      <c r="C22" s="92"/>
      <c r="D22" s="43">
        <v>9</v>
      </c>
      <c r="E22" s="106" t="s">
        <v>34</v>
      </c>
      <c r="F22" s="107"/>
      <c r="G22" s="106" t="s">
        <v>35</v>
      </c>
      <c r="H22" s="108"/>
      <c r="I22" s="108"/>
      <c r="J22" s="108"/>
      <c r="K22" s="107"/>
      <c r="L22" s="44"/>
      <c r="M22" s="55"/>
      <c r="N22" s="61"/>
      <c r="O22" s="34"/>
      <c r="P22" s="1"/>
    </row>
    <row r="23" spans="1:16" ht="21" thickBot="1">
      <c r="A23" s="1"/>
      <c r="B23" s="8"/>
      <c r="C23" s="93"/>
      <c r="D23" s="88" t="s">
        <v>4</v>
      </c>
      <c r="E23" s="89"/>
      <c r="F23" s="89"/>
      <c r="G23" s="89"/>
      <c r="H23" s="89"/>
      <c r="I23" s="89"/>
      <c r="J23" s="90"/>
      <c r="K23" s="47">
        <f>+SUM(L23:N23)/COUNTA(G19:K22)</f>
        <v>0</v>
      </c>
      <c r="L23" s="71">
        <f>+SUM(L19:L22)</f>
        <v>0</v>
      </c>
      <c r="M23" s="71">
        <f>+SUM(M19:M22)</f>
        <v>0</v>
      </c>
      <c r="N23" s="71">
        <f>+SUM(N19:N22)</f>
        <v>0</v>
      </c>
      <c r="O23" s="48"/>
      <c r="P23" s="31"/>
    </row>
    <row r="24" spans="1:16" ht="32.25" customHeight="1">
      <c r="A24" s="1"/>
      <c r="B24" s="8"/>
      <c r="C24" s="91" t="s">
        <v>36</v>
      </c>
      <c r="D24" s="45">
        <v>6</v>
      </c>
      <c r="E24" s="98" t="s">
        <v>28</v>
      </c>
      <c r="F24" s="99"/>
      <c r="G24" s="100" t="s">
        <v>37</v>
      </c>
      <c r="H24" s="101"/>
      <c r="I24" s="101"/>
      <c r="J24" s="101"/>
      <c r="K24" s="102"/>
      <c r="L24" s="46"/>
      <c r="M24" s="56"/>
      <c r="N24" s="62"/>
      <c r="O24" s="67"/>
      <c r="P24" s="31"/>
    </row>
    <row r="25" spans="1:16" ht="31.5" customHeight="1">
      <c r="A25" s="1"/>
      <c r="B25" s="8"/>
      <c r="C25" s="92"/>
      <c r="D25" s="32">
        <v>7</v>
      </c>
      <c r="E25" s="76" t="s">
        <v>28</v>
      </c>
      <c r="F25" s="77"/>
      <c r="G25" s="76" t="s">
        <v>38</v>
      </c>
      <c r="H25" s="97"/>
      <c r="I25" s="97"/>
      <c r="J25" s="97"/>
      <c r="K25" s="77"/>
      <c r="L25" s="33"/>
      <c r="M25" s="52"/>
      <c r="N25" s="58"/>
      <c r="O25" s="41"/>
      <c r="P25" s="31"/>
    </row>
    <row r="26" spans="1:16" ht="32.25" customHeight="1">
      <c r="A26" s="1"/>
      <c r="B26" s="8"/>
      <c r="C26" s="92"/>
      <c r="D26" s="32">
        <v>8</v>
      </c>
      <c r="E26" s="103" t="s">
        <v>39</v>
      </c>
      <c r="F26" s="104"/>
      <c r="G26" s="103" t="s">
        <v>40</v>
      </c>
      <c r="H26" s="105"/>
      <c r="I26" s="105"/>
      <c r="J26" s="105"/>
      <c r="K26" s="104"/>
      <c r="L26" s="33"/>
      <c r="M26" s="52"/>
      <c r="N26" s="58"/>
      <c r="O26" s="41"/>
      <c r="P26" s="1"/>
    </row>
    <row r="27" spans="1:16" ht="17.25" customHeight="1">
      <c r="A27" s="1"/>
      <c r="B27" s="8"/>
      <c r="C27" s="92"/>
      <c r="D27" s="32">
        <v>11</v>
      </c>
      <c r="E27" s="76" t="s">
        <v>41</v>
      </c>
      <c r="F27" s="77"/>
      <c r="G27" s="76" t="s">
        <v>42</v>
      </c>
      <c r="H27" s="97"/>
      <c r="I27" s="97"/>
      <c r="J27" s="97"/>
      <c r="K27" s="77"/>
      <c r="L27" s="33"/>
      <c r="M27" s="52"/>
      <c r="N27" s="58"/>
      <c r="O27" s="41"/>
      <c r="P27" s="1"/>
    </row>
    <row r="28" spans="1:16" ht="79.5" customHeight="1" thickBot="1">
      <c r="A28" s="1"/>
      <c r="B28" s="8"/>
      <c r="C28" s="92"/>
      <c r="D28" s="45">
        <v>12</v>
      </c>
      <c r="E28" s="76" t="s">
        <v>41</v>
      </c>
      <c r="F28" s="77"/>
      <c r="G28" s="78" t="s">
        <v>43</v>
      </c>
      <c r="H28" s="79"/>
      <c r="I28" s="79"/>
      <c r="J28" s="79"/>
      <c r="K28" s="80"/>
      <c r="L28" s="66"/>
      <c r="M28" s="63"/>
      <c r="N28" s="64"/>
      <c r="O28" s="35"/>
      <c r="P28" s="1"/>
    </row>
    <row r="29" spans="1:16" ht="21" thickBot="1">
      <c r="A29" s="1"/>
      <c r="B29" s="8"/>
      <c r="C29" s="93"/>
      <c r="D29" s="88" t="s">
        <v>5</v>
      </c>
      <c r="E29" s="89"/>
      <c r="F29" s="89"/>
      <c r="G29" s="89"/>
      <c r="H29" s="89"/>
      <c r="I29" s="89"/>
      <c r="J29" s="90"/>
      <c r="K29" s="72">
        <f>+SUM(L29:N29)/COUNTA(G27:K28)</f>
        <v>0</v>
      </c>
      <c r="L29" s="73">
        <f>+SUM(L27:L28)</f>
        <v>0</v>
      </c>
      <c r="M29" s="71">
        <f>+SUM(M27:M28)</f>
        <v>0</v>
      </c>
      <c r="N29" s="71">
        <f>+SUM(N27:N28)</f>
        <v>0</v>
      </c>
      <c r="O29" s="74"/>
      <c r="P29" s="31"/>
    </row>
    <row r="30" spans="1:16" ht="27.75" customHeight="1">
      <c r="A30" s="1"/>
      <c r="B30" s="8"/>
      <c r="C30" s="91" t="s">
        <v>44</v>
      </c>
      <c r="D30" s="32">
        <v>7</v>
      </c>
      <c r="E30" s="94" t="s">
        <v>45</v>
      </c>
      <c r="F30" s="95"/>
      <c r="G30" s="94" t="s">
        <v>46</v>
      </c>
      <c r="H30" s="96"/>
      <c r="I30" s="96"/>
      <c r="J30" s="96"/>
      <c r="K30" s="95"/>
      <c r="L30" s="46"/>
      <c r="M30" s="56"/>
      <c r="N30" s="62"/>
      <c r="O30" s="67"/>
      <c r="P30" s="31"/>
    </row>
    <row r="31" spans="1:16" ht="30" customHeight="1">
      <c r="A31" s="1"/>
      <c r="B31" s="8"/>
      <c r="C31" s="92"/>
      <c r="D31" s="32">
        <v>8</v>
      </c>
      <c r="E31" s="76" t="s">
        <v>44</v>
      </c>
      <c r="F31" s="77"/>
      <c r="G31" s="76" t="s">
        <v>47</v>
      </c>
      <c r="H31" s="97"/>
      <c r="I31" s="97"/>
      <c r="J31" s="97"/>
      <c r="K31" s="77"/>
      <c r="L31" s="33"/>
      <c r="M31" s="52"/>
      <c r="N31" s="58"/>
      <c r="O31" s="41"/>
      <c r="P31" s="1"/>
    </row>
    <row r="32" spans="1:16" ht="33" customHeight="1" thickBot="1">
      <c r="A32" s="1"/>
      <c r="B32" s="8"/>
      <c r="C32" s="92"/>
      <c r="D32" s="32">
        <v>13</v>
      </c>
      <c r="E32" s="78" t="s">
        <v>48</v>
      </c>
      <c r="F32" s="80"/>
      <c r="G32" s="78" t="s">
        <v>49</v>
      </c>
      <c r="H32" s="79"/>
      <c r="I32" s="79"/>
      <c r="J32" s="79"/>
      <c r="K32" s="80"/>
      <c r="L32" s="33"/>
      <c r="M32" s="52"/>
      <c r="N32" s="58"/>
      <c r="O32" s="41"/>
      <c r="P32" s="31"/>
    </row>
    <row r="33" spans="1:16" ht="21" thickBot="1">
      <c r="A33" s="1"/>
      <c r="B33" s="8"/>
      <c r="C33" s="93"/>
      <c r="D33" s="88" t="s">
        <v>6</v>
      </c>
      <c r="E33" s="89"/>
      <c r="F33" s="89"/>
      <c r="G33" s="89"/>
      <c r="H33" s="89"/>
      <c r="I33" s="89"/>
      <c r="J33" s="90"/>
      <c r="K33" s="47">
        <f>+SUM(L33:N33)/COUNTA(G32:K32)</f>
        <v>0</v>
      </c>
      <c r="L33" s="71">
        <f>+SUM(L32:L32)</f>
        <v>0</v>
      </c>
      <c r="M33" s="71">
        <f>+SUM(M32:M32)</f>
        <v>0</v>
      </c>
      <c r="N33" s="71">
        <f>+SUM(N32:N32)</f>
        <v>0</v>
      </c>
      <c r="O33" s="48"/>
      <c r="P33" s="31"/>
    </row>
    <row r="34" spans="1:16" ht="58.5" customHeight="1">
      <c r="A34" s="1"/>
      <c r="B34" s="8"/>
      <c r="C34" s="91" t="s">
        <v>50</v>
      </c>
      <c r="D34" s="28">
        <v>14</v>
      </c>
      <c r="E34" s="94" t="s">
        <v>44</v>
      </c>
      <c r="F34" s="95"/>
      <c r="G34" s="94" t="s">
        <v>51</v>
      </c>
      <c r="H34" s="96"/>
      <c r="I34" s="96"/>
      <c r="J34" s="96"/>
      <c r="K34" s="95"/>
      <c r="L34" s="40"/>
      <c r="M34" s="54"/>
      <c r="N34" s="60"/>
      <c r="O34" s="30"/>
      <c r="P34" s="31"/>
    </row>
    <row r="35" spans="1:16" ht="46.5" customHeight="1">
      <c r="A35" s="1"/>
      <c r="B35" s="8"/>
      <c r="C35" s="92"/>
      <c r="D35" s="32">
        <v>15</v>
      </c>
      <c r="E35" s="76" t="s">
        <v>52</v>
      </c>
      <c r="F35" s="77"/>
      <c r="G35" s="82" t="s">
        <v>53</v>
      </c>
      <c r="H35" s="83"/>
      <c r="I35" s="83"/>
      <c r="J35" s="83"/>
      <c r="K35" s="84"/>
      <c r="L35" s="33"/>
      <c r="M35" s="52"/>
      <c r="N35" s="58"/>
      <c r="O35" s="41"/>
      <c r="P35" s="31"/>
    </row>
    <row r="36" spans="1:16" ht="17.25" customHeight="1">
      <c r="A36" s="1"/>
      <c r="B36" s="8"/>
      <c r="C36" s="92"/>
      <c r="D36" s="32">
        <v>16</v>
      </c>
      <c r="E36" s="76" t="s">
        <v>54</v>
      </c>
      <c r="F36" s="77"/>
      <c r="G36" s="82" t="s">
        <v>55</v>
      </c>
      <c r="H36" s="83"/>
      <c r="I36" s="83"/>
      <c r="J36" s="83"/>
      <c r="K36" s="84"/>
      <c r="L36" s="33"/>
      <c r="M36" s="52"/>
      <c r="N36" s="58"/>
      <c r="O36" s="49"/>
      <c r="P36" s="1"/>
    </row>
    <row r="37" spans="1:16" ht="34.5" customHeight="1" thickBot="1">
      <c r="A37" s="1"/>
      <c r="B37" s="8"/>
      <c r="C37" s="92"/>
      <c r="D37" s="36">
        <v>17</v>
      </c>
      <c r="E37" s="78" t="s">
        <v>56</v>
      </c>
      <c r="F37" s="80"/>
      <c r="G37" s="85" t="s">
        <v>57</v>
      </c>
      <c r="H37" s="86"/>
      <c r="I37" s="86"/>
      <c r="J37" s="86"/>
      <c r="K37" s="87"/>
      <c r="L37" s="50"/>
      <c r="M37" s="53"/>
      <c r="N37" s="59"/>
      <c r="O37" s="37"/>
      <c r="P37" s="1"/>
    </row>
    <row r="38" spans="1:16" ht="21" thickBot="1">
      <c r="A38" s="1"/>
      <c r="B38" s="69"/>
      <c r="C38" s="93"/>
      <c r="D38" s="88" t="s">
        <v>7</v>
      </c>
      <c r="E38" s="89"/>
      <c r="F38" s="89"/>
      <c r="G38" s="89"/>
      <c r="H38" s="89"/>
      <c r="I38" s="89"/>
      <c r="J38" s="90"/>
      <c r="K38" s="38">
        <f>+SUM(L38:N38)/COUNTA(G34:K37)</f>
        <v>0</v>
      </c>
      <c r="L38" s="65">
        <f>+SUM(L34:L36)</f>
        <v>0</v>
      </c>
      <c r="M38" s="65">
        <f>+SUM(M34:M37)</f>
        <v>0</v>
      </c>
      <c r="N38" s="65">
        <f>+SUM(N34:N37)</f>
        <v>0</v>
      </c>
      <c r="O38" s="39"/>
      <c r="P38" s="31"/>
    </row>
    <row r="39" spans="1:16" ht="17.25">
      <c r="A39" s="1"/>
      <c r="B39" s="1"/>
      <c r="C39" s="1"/>
      <c r="D39" s="2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ht="17.25">
      <c r="A40" s="1"/>
      <c r="B40" s="1"/>
      <c r="C40" s="1"/>
      <c r="D40" s="2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ht="17.25">
      <c r="A41" s="1"/>
      <c r="B41" s="1"/>
      <c r="C41" s="1"/>
      <c r="D41" s="81" t="s">
        <v>58</v>
      </c>
      <c r="E41" s="81"/>
      <c r="F41" s="81"/>
      <c r="G41" s="81"/>
      <c r="H41" s="81"/>
      <c r="I41" s="81"/>
      <c r="J41" s="81"/>
      <c r="K41" s="1"/>
      <c r="L41" s="1"/>
      <c r="M41" s="1"/>
      <c r="N41" s="1"/>
      <c r="O41" s="1"/>
      <c r="P41" s="1"/>
    </row>
    <row r="42" spans="1:16" ht="17.25">
      <c r="A42" s="1"/>
      <c r="B42" s="1"/>
      <c r="C42" s="1"/>
      <c r="D42" s="81" t="s">
        <v>59</v>
      </c>
      <c r="E42" s="81"/>
      <c r="F42" s="81"/>
      <c r="G42" s="81"/>
      <c r="H42" s="81"/>
      <c r="I42" s="81"/>
      <c r="J42" s="81"/>
      <c r="K42" s="1"/>
      <c r="L42" s="1"/>
      <c r="M42" s="1"/>
      <c r="N42" s="1"/>
      <c r="O42" s="1"/>
      <c r="P42" s="1"/>
    </row>
    <row r="43" spans="1:16" ht="17.25">
      <c r="A43" s="1"/>
      <c r="B43" s="1"/>
      <c r="C43" s="1"/>
      <c r="D43" s="81" t="s">
        <v>60</v>
      </c>
      <c r="E43" s="81"/>
      <c r="F43" s="81"/>
      <c r="G43" s="81"/>
      <c r="H43" s="81"/>
      <c r="I43" s="81"/>
      <c r="J43" s="81"/>
      <c r="K43" s="1"/>
      <c r="L43" s="1"/>
      <c r="M43" s="1"/>
      <c r="N43" s="1"/>
      <c r="O43" s="1"/>
      <c r="P43" s="1"/>
    </row>
    <row r="44" spans="1:16" ht="17.25">
      <c r="A44" s="1"/>
      <c r="B44" s="1"/>
      <c r="C44" s="1"/>
      <c r="D44" s="2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ht="17.25">
      <c r="A45" s="1"/>
      <c r="B45" s="1"/>
      <c r="C45" s="1"/>
      <c r="D45" s="2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ht="17.25">
      <c r="A46" s="1"/>
      <c r="B46" s="1"/>
      <c r="C46" s="1"/>
      <c r="D46" s="2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ht="17.25">
      <c r="A47" s="1"/>
      <c r="B47" s="1"/>
      <c r="C47" s="1"/>
      <c r="D47" s="2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ht="17.25">
      <c r="A48" s="1"/>
      <c r="B48" s="1"/>
      <c r="C48" s="1"/>
      <c r="D48" s="2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ht="17.25">
      <c r="A49" s="1"/>
      <c r="B49" s="1"/>
      <c r="C49" s="1"/>
      <c r="D49" s="2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ht="17.25">
      <c r="A50" s="1"/>
      <c r="B50" s="1"/>
      <c r="C50" s="1"/>
      <c r="D50" s="2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ht="17.25" hidden="1">
      <c r="A51" s="1"/>
      <c r="B51" s="1"/>
      <c r="C51" s="1"/>
      <c r="D51" s="2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ht="17.25" hidden="1">
      <c r="A52" s="1"/>
      <c r="B52" s="1"/>
      <c r="C52" s="1"/>
      <c r="D52" s="2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</sheetData>
  <mergeCells count="65">
    <mergeCell ref="D8:F8"/>
    <mergeCell ref="G8:I8"/>
    <mergeCell ref="K8:N8"/>
    <mergeCell ref="E25:F25"/>
    <mergeCell ref="C3:O3"/>
    <mergeCell ref="D5:D6"/>
    <mergeCell ref="K5:K6"/>
    <mergeCell ref="L5:N6"/>
    <mergeCell ref="O5:O7"/>
    <mergeCell ref="D9:I9"/>
    <mergeCell ref="K9:N9"/>
    <mergeCell ref="K10:N10"/>
    <mergeCell ref="D12:N13"/>
    <mergeCell ref="E14:F14"/>
    <mergeCell ref="G14:K14"/>
    <mergeCell ref="D18:J18"/>
    <mergeCell ref="C19:C23"/>
    <mergeCell ref="E19:F19"/>
    <mergeCell ref="G19:K19"/>
    <mergeCell ref="E20:F20"/>
    <mergeCell ref="G20:K20"/>
    <mergeCell ref="E21:F21"/>
    <mergeCell ref="G21:K21"/>
    <mergeCell ref="E22:F22"/>
    <mergeCell ref="G22:K22"/>
    <mergeCell ref="D23:J23"/>
    <mergeCell ref="C15:C18"/>
    <mergeCell ref="E15:F15"/>
    <mergeCell ref="G15:K15"/>
    <mergeCell ref="E16:F16"/>
    <mergeCell ref="G16:K16"/>
    <mergeCell ref="E17:F17"/>
    <mergeCell ref="G17:K17"/>
    <mergeCell ref="C24:C29"/>
    <mergeCell ref="C30:C33"/>
    <mergeCell ref="G30:K30"/>
    <mergeCell ref="G31:K31"/>
    <mergeCell ref="G32:K32"/>
    <mergeCell ref="E30:F30"/>
    <mergeCell ref="D33:J33"/>
    <mergeCell ref="D29:J29"/>
    <mergeCell ref="E32:F32"/>
    <mergeCell ref="E24:F24"/>
    <mergeCell ref="G24:K24"/>
    <mergeCell ref="G25:K25"/>
    <mergeCell ref="E26:F26"/>
    <mergeCell ref="G26:K26"/>
    <mergeCell ref="E27:F27"/>
    <mergeCell ref="G27:K27"/>
    <mergeCell ref="C34:C38"/>
    <mergeCell ref="E34:F34"/>
    <mergeCell ref="G34:K34"/>
    <mergeCell ref="E35:F35"/>
    <mergeCell ref="G35:K35"/>
    <mergeCell ref="E36:F36"/>
    <mergeCell ref="E28:F28"/>
    <mergeCell ref="G28:K28"/>
    <mergeCell ref="E31:F31"/>
    <mergeCell ref="D43:J43"/>
    <mergeCell ref="G36:K36"/>
    <mergeCell ref="E37:F37"/>
    <mergeCell ref="G37:K37"/>
    <mergeCell ref="D38:J38"/>
    <mergeCell ref="D41:J41"/>
    <mergeCell ref="D42:J42"/>
  </mergeCells>
  <conditionalFormatting sqref="K38 K33 L5 K23 K18 E6:I6 K29">
    <cfRule type="cellIs" dxfId="2" priority="3" operator="between">
      <formula>0</formula>
      <formula>0.4</formula>
    </cfRule>
  </conditionalFormatting>
  <conditionalFormatting sqref="K38 K33 L5 K23 K18 E6:I6 K29">
    <cfRule type="cellIs" dxfId="1" priority="2" operator="between">
      <formula>0.4</formula>
      <formula>0.85</formula>
    </cfRule>
  </conditionalFormatting>
  <conditionalFormatting sqref="K38 K33 L5 K23 K18 E6:I6 K29">
    <cfRule type="cellIs" dxfId="0" priority="1" operator="greaterThanOrEqual">
      <formula>0.85</formula>
    </cfRule>
  </conditionalFormatting>
  <dataValidations disablePrompts="1" count="2">
    <dataValidation type="list" allowBlank="1" showInputMessage="1" showErrorMessage="1" sqref="M34:N37 M24:N28 M30:N32 M19:N22 M15:N17" xr:uid="{00000000-0002-0000-0000-000000000000}">
      <formula1>$N$14</formula1>
    </dataValidation>
    <dataValidation type="list" allowBlank="1" showInputMessage="1" showErrorMessage="1" sqref="L34:L37 L30:L32 L24:L28 L15:L17 L19:L22" xr:uid="{00000000-0002-0000-0000-000001000000}">
      <formula1>$L$14</formula1>
    </dataValidation>
  </dataValidations>
  <pageMargins left="0.7" right="0.7" top="0.75" bottom="0.75" header="0.3" footer="0.3"/>
  <pageSetup paperSize="9" orientation="portrait" r:id="rId1"/>
  <ignoredErrors>
    <ignoredError sqref="L18:N18" formulaRange="1"/>
  </ignoredErrors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244627401FB25478358C35AEAADF422" ma:contentTypeVersion="13" ma:contentTypeDescription="Crear nuevo documento." ma:contentTypeScope="" ma:versionID="30dd158a1f33d6ffa245f6e709d62cba">
  <xsd:schema xmlns:xsd="http://www.w3.org/2001/XMLSchema" xmlns:xs="http://www.w3.org/2001/XMLSchema" xmlns:p="http://schemas.microsoft.com/office/2006/metadata/properties" xmlns:ns2="e273859e-dc35-4fb4-8e9b-9390895ea035" xmlns:ns3="349dfb2b-96ab-4c80-8fa5-89496dd79efd" targetNamespace="http://schemas.microsoft.com/office/2006/metadata/properties" ma:root="true" ma:fieldsID="524aed686b407f82fd5aa99ff9a8915c" ns2:_="" ns3:_="">
    <xsd:import namespace="e273859e-dc35-4fb4-8e9b-9390895ea035"/>
    <xsd:import namespace="349dfb2b-96ab-4c80-8fa5-89496dd79ef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73859e-dc35-4fb4-8e9b-9390895ea0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f63fed09-c66e-460e-833f-a28c3cccb15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9dfb2b-96ab-4c80-8fa5-89496dd79efd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8bcb35b-435d-416d-8d36-e06035678e9d}" ma:internalName="TaxCatchAll" ma:showField="CatchAllData" ma:web="349dfb2b-96ab-4c80-8fa5-89496dd79e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273859e-dc35-4fb4-8e9b-9390895ea035">
      <Terms xmlns="http://schemas.microsoft.com/office/infopath/2007/PartnerControls"/>
    </lcf76f155ced4ddcb4097134ff3c332f>
    <TaxCatchAll xmlns="349dfb2b-96ab-4c80-8fa5-89496dd79ef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F2E871D-E31B-444E-9673-F74E7E7F9079}"/>
</file>

<file path=customXml/itemProps2.xml><?xml version="1.0" encoding="utf-8"?>
<ds:datastoreItem xmlns:ds="http://schemas.openxmlformats.org/officeDocument/2006/customXml" ds:itemID="{DC773879-F8CC-483C-8345-145ACFDC9D67}"/>
</file>

<file path=customXml/itemProps3.xml><?xml version="1.0" encoding="utf-8"?>
<ds:datastoreItem xmlns:ds="http://schemas.openxmlformats.org/officeDocument/2006/customXml" ds:itemID="{70EC38DB-3547-45C7-9C05-B0A406FD60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AmBev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99787357</dc:creator>
  <cp:keywords/>
  <dc:description/>
  <cp:lastModifiedBy>SEBASTIAN ROSELLI</cp:lastModifiedBy>
  <cp:revision/>
  <dcterms:created xsi:type="dcterms:W3CDTF">2020-06-08T20:59:50Z</dcterms:created>
  <dcterms:modified xsi:type="dcterms:W3CDTF">2025-10-07T11:04:23Z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0x0101004244627401FB25478358C35AEAADF422</vt:lpwstr>
  </property>
  <property fmtid="{D5CDD505-2E9C-101B-9397-08002B2CF9AE}" pid="3" name="MediaServiceImageTags">
    <vt:lpwstr/>
  </property>
</Properties>
</file>