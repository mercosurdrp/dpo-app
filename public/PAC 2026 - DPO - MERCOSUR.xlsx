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RMINAL\Downloads\"/>
    </mc:Choice>
  </mc:AlternateContent>
  <xr:revisionPtr revIDLastSave="0" documentId="13_ncr:1_{B07FE6CB-6F4F-4BD5-86A3-3F45C5C862AD}" xr6:coauthVersionLast="47" xr6:coauthVersionMax="47" xr10:uidLastSave="{00000000-0000-0000-0000-000000000000}"/>
  <bookViews>
    <workbookView xWindow="20370" yWindow="-120" windowWidth="24240" windowHeight="13020" xr2:uid="{8E080AE8-32EF-4E7E-9A54-4E273B55DE2C}"/>
  </bookViews>
  <sheets>
    <sheet name="PAC 2026 - Propuesta" sheetId="3" r:id="rId1"/>
    <sheet name="Hoja1" sheetId="8" r:id="rId2"/>
    <sheet name="AVANCES" sheetId="9" r:id="rId3"/>
    <sheet name="Pedido equipo LogOn" sheetId="7" state="hidden" r:id="rId4"/>
    <sheet name="Status" sheetId="5" state="hidden" r:id="rId5"/>
    <sheet name="Consultas" sheetId="4" state="hidden" r:id="rId6"/>
  </sheets>
  <externalReferences>
    <externalReference r:id="rId7"/>
  </externalReferences>
  <definedNames>
    <definedName name="_xlnm._FilterDatabase" localSheetId="0" hidden="1">'PAC 2026 - Propuesta'!$A$5:$O$97</definedName>
    <definedName name="indice">[1]Plan1!$A$1:$A$21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0" i="9" l="1"/>
  <c r="C10" i="9"/>
  <c r="B10" i="9" s="1"/>
  <c r="D10" i="9"/>
  <c r="B4" i="9"/>
  <c r="B5" i="9"/>
  <c r="B6" i="9"/>
  <c r="B7" i="9"/>
  <c r="B8" i="9"/>
  <c r="B9" i="9"/>
  <c r="B3" i="9"/>
  <c r="F71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tc={EB3A5E8A-BDC5-450D-A558-517AA700CA45}</author>
    <author>tc={111C9710-5A37-4AEC-ABFB-BF986DCA6D8B}</author>
    <author>tc={28206247-63BE-4120-8694-8183F5882FBF}</author>
    <author>tc={412BD0A9-1847-458A-B6B0-1FDCFA5B7239}</author>
    <author>tc={88C63B2F-3145-4D91-8941-80CC637F045A}</author>
    <author>tc={9478763E-BFBF-408B-889E-3EDF77EBE0F3}</author>
    <author>tc={051A1C87-90D7-41E3-9A1D-D9E1DDCB96B2}</author>
    <author>tc={5B00039D-1917-4B9B-A779-194DE71DE4BD}</author>
    <author>tc={91A55298-3AB0-4D23-B07F-589B3B2B0924}</author>
  </authors>
  <commentList>
    <comment ref="H6" authorId="0" shapeId="0" xr:uid="{EB3A5E8A-BDC5-450D-A558-517AA700CA4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- Analistas de WH y Stock
- Supevisores de WH
- Verificadores</t>
        </r>
      </text>
    </comment>
    <comment ref="H12" authorId="1" shapeId="0" xr:uid="{111C9710-5A37-4AEC-ABFB-BF986DCA6D8B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- Analistas de WH y Stock
- Supevisores de WH
- Verificadores</t>
        </r>
      </text>
    </comment>
    <comment ref="H13" authorId="2" shapeId="0" xr:uid="{28206247-63BE-4120-8694-8183F5882FBF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- Analistas de WH y Stock
- Supevisores de WH
- Verificadores</t>
        </r>
      </text>
    </comment>
    <comment ref="H14" authorId="3" shapeId="0" xr:uid="{412BD0A9-1847-458A-B6B0-1FDCFA5B7239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ADM CMQ &amp; ADM OL
- Analistas de WH y Stock
- Supevisores de WH
- Verificadores</t>
        </r>
      </text>
    </comment>
    <comment ref="H15" authorId="4" shapeId="0" xr:uid="{88C63B2F-3145-4D91-8941-80CC637F045A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- Analistas de WH y Stock
- Supevisores de WH
- Verificadores</t>
        </r>
      </text>
    </comment>
    <comment ref="H16" authorId="5" shapeId="0" xr:uid="{9478763E-BFBF-408B-889E-3EDF77EBE0F3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- Analistas de WH y Stock
- Supevisores de WH
- Verificadores</t>
        </r>
      </text>
    </comment>
    <comment ref="H18" authorId="6" shapeId="0" xr:uid="{051A1C87-90D7-41E3-9A1D-D9E1DDCB96B2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- Analistas de WH y Stock
- Supevisores de WH
- Verificadores</t>
        </r>
      </text>
    </comment>
    <comment ref="C81" authorId="7" shapeId="0" xr:uid="{5B00039D-1917-4B9B-A779-194DE71DE4BD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Solo para habilitar un empleado</t>
        </r>
      </text>
    </comment>
    <comment ref="C92" authorId="8" shapeId="0" xr:uid="{91A55298-3AB0-4D23-B07F-589B3B2B0924}">
      <text>
        <r>
          <rPr>
            <sz val="11"/>
            <color theme="1"/>
            <rFont val="Calibri"/>
            <family val="2"/>
            <scheme val="minor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Para formar nuevos entrenadores
</t>
        </r>
      </text>
    </comment>
  </commentList>
</comments>
</file>

<file path=xl/sharedStrings.xml><?xml version="1.0" encoding="utf-8"?>
<sst xmlns="http://schemas.openxmlformats.org/spreadsheetml/2006/main" count="764" uniqueCount="357">
  <si>
    <t>Plan Anual de Capacitación 2026 - DISTRIBUIDORES</t>
  </si>
  <si>
    <t>Documento</t>
  </si>
  <si>
    <t>Cargos</t>
  </si>
  <si>
    <t>Fecha</t>
  </si>
  <si>
    <t>PAC 2026</t>
  </si>
  <si>
    <t>Roles Obligatorios a quienes aplica entrenamiento</t>
  </si>
  <si>
    <t>Material de Entrenamiento</t>
  </si>
  <si>
    <t>Pilar</t>
  </si>
  <si>
    <t>Bloque</t>
  </si>
  <si>
    <t>Capacitación</t>
  </si>
  <si>
    <t>Contenido</t>
  </si>
  <si>
    <t>OP WH</t>
  </si>
  <si>
    <t>OP DEL</t>
  </si>
  <si>
    <t>ACARREO</t>
  </si>
  <si>
    <t>ADM</t>
  </si>
  <si>
    <t>LIDERES</t>
  </si>
  <si>
    <t>TALLER</t>
  </si>
  <si>
    <t>Responsable</t>
  </si>
  <si>
    <t>Frecuencia</t>
  </si>
  <si>
    <t>Mes</t>
  </si>
  <si>
    <t>TEMAS</t>
  </si>
  <si>
    <t>ALMACEN</t>
  </si>
  <si>
    <t>ABC + FEFO</t>
  </si>
  <si>
    <t>Detalle</t>
  </si>
  <si>
    <t>Marzo</t>
  </si>
  <si>
    <t>Semana de Calidad en Almacén</t>
  </si>
  <si>
    <t>Fundamentos de calidad en Almacén</t>
  </si>
  <si>
    <t>Rotura</t>
  </si>
  <si>
    <t>PRI</t>
  </si>
  <si>
    <t>Calidad en Marketplace</t>
  </si>
  <si>
    <t>Calidad de Marketplace</t>
  </si>
  <si>
    <t xml:space="preserve">Abril  </t>
  </si>
  <si>
    <t>Reempaque de Productos</t>
  </si>
  <si>
    <t>Políticas de Calidad - PRI - Disposición Final de Residuos</t>
  </si>
  <si>
    <t>Mayo</t>
  </si>
  <si>
    <t>Políticas de Calidad - Devoluciones</t>
  </si>
  <si>
    <t>Clasificacion de activos - MKPLACE</t>
  </si>
  <si>
    <t>Rotura en Almacén</t>
  </si>
  <si>
    <t>Junio</t>
  </si>
  <si>
    <t>Picking montaje + Reabastecimiento</t>
  </si>
  <si>
    <t>Carga y descarga de camiones</t>
  </si>
  <si>
    <t>GENTE</t>
  </si>
  <si>
    <t>Princípios de Cultura del Distribuidor</t>
  </si>
  <si>
    <t>Descripcion de Principios + Link con Tareas diarias.</t>
  </si>
  <si>
    <t>Interno Distribuidor</t>
  </si>
  <si>
    <t>1x Año</t>
  </si>
  <si>
    <t>Código de Conducta y Compliance</t>
  </si>
  <si>
    <t>Codigo de Conducta interno Distribuidor</t>
  </si>
  <si>
    <t>Política, respeto y anti-discriminación</t>
  </si>
  <si>
    <t>Explicación de la Politica.</t>
  </si>
  <si>
    <t>Abril</t>
  </si>
  <si>
    <t>Remuneración &amp; Beneficios</t>
  </si>
  <si>
    <t>Conceptos Remunerativos / No Remunerativos &amp; Beneficios Corporativos</t>
  </si>
  <si>
    <t>SKAP para Lideres</t>
  </si>
  <si>
    <t>Conceptos basicos de matriz de habilidades y cómo evaluar</t>
  </si>
  <si>
    <t>EQUIPO DPO</t>
  </si>
  <si>
    <t>Entrenamiento único</t>
  </si>
  <si>
    <t>Gestión de indicadores de Gente - Ausentismo</t>
  </si>
  <si>
    <t>Medición + Gestión del indicador + Acciones preventivas / correctivas.</t>
  </si>
  <si>
    <t>Pilar Gente DPO - 3R</t>
  </si>
  <si>
    <t>Concepto básico + Ejemplos</t>
  </si>
  <si>
    <t>Train the Trainer</t>
  </si>
  <si>
    <t>Concepto básico + Ejemplos (Material estándar compartido)</t>
  </si>
  <si>
    <t>Seguridad Psicologica</t>
  </si>
  <si>
    <t>Concepto Básico + Ejemplos</t>
  </si>
  <si>
    <t>Encuesta de Engagement (Bajada de resultados)</t>
  </si>
  <si>
    <t>Cascadeo de Resultado + Explicación x Bloque + plan de Acción</t>
  </si>
  <si>
    <t>Febrero</t>
  </si>
  <si>
    <t>Resultados generales EC H2 2025</t>
  </si>
  <si>
    <t>Realizado</t>
  </si>
  <si>
    <t>Equipos Autónomos para lideres</t>
  </si>
  <si>
    <t>Concepto Básico + Ejemplos prácticos de Distribuidors Argentina</t>
  </si>
  <si>
    <t>FLOTA</t>
  </si>
  <si>
    <t>Gestión de Flota</t>
  </si>
  <si>
    <t>Conocimientos Básicos</t>
  </si>
  <si>
    <t>Anual</t>
  </si>
  <si>
    <t>Tableros</t>
  </si>
  <si>
    <t>Rutina</t>
  </si>
  <si>
    <t>Documentación, Telemetría &amp; Multas</t>
  </si>
  <si>
    <t xml:space="preserve">Armar examen </t>
  </si>
  <si>
    <t>Distribuidor</t>
  </si>
  <si>
    <t xml:space="preserve">Marzo </t>
  </si>
  <si>
    <t>Checklist de Flota</t>
  </si>
  <si>
    <t>Política de Combustible &amp; Neumáticos</t>
  </si>
  <si>
    <t>Mantenimiento (taller, piezas, resudios)</t>
  </si>
  <si>
    <t>ENTREGA</t>
  </si>
  <si>
    <t>Ejecución de la Rutina Básica (Delivery Team Journey)</t>
  </si>
  <si>
    <t>Pre-Ruta</t>
  </si>
  <si>
    <t>En Ruta</t>
  </si>
  <si>
    <t>Post-Ruta</t>
  </si>
  <si>
    <t>Ejecución de entrega</t>
  </si>
  <si>
    <t xml:space="preserve">Herramientas digitales </t>
  </si>
  <si>
    <t>Bees</t>
  </si>
  <si>
    <t>Pagos Digitales</t>
  </si>
  <si>
    <t>Semana de Calidad en Distribución</t>
  </si>
  <si>
    <t>Fundamentos de calidad en Entrega</t>
  </si>
  <si>
    <t>Descarga en punto de venta</t>
  </si>
  <si>
    <t>Manipulación</t>
  </si>
  <si>
    <t>Cambios &amp; Devoluciones</t>
  </si>
  <si>
    <t>Feedback de choferes</t>
  </si>
  <si>
    <t>Abril, con Team Room</t>
  </si>
  <si>
    <t>Satisfacción del cliente (RMD &amp; NPS)</t>
  </si>
  <si>
    <t>Rechazo (Modulación &amp; Refacturaciones)</t>
  </si>
  <si>
    <t>Abril, con EN RUTA</t>
  </si>
  <si>
    <t>GESTIÓN</t>
  </si>
  <si>
    <t>Línea Ética</t>
  </si>
  <si>
    <t>DEL: Abril</t>
  </si>
  <si>
    <t>La importancia del 5 S</t>
  </si>
  <si>
    <t>5S</t>
  </si>
  <si>
    <t>Anual / nuevos ingresos / a demanda</t>
  </si>
  <si>
    <t>DEL: Marzo</t>
  </si>
  <si>
    <t>Team Room (Del &amp; WH)</t>
  </si>
  <si>
    <t>Agenda, estandar, flujo</t>
  </si>
  <si>
    <t>DPO</t>
  </si>
  <si>
    <t>Ciclo de Gestión</t>
  </si>
  <si>
    <t>DEL: Mayo</t>
  </si>
  <si>
    <t xml:space="preserve">Herramientas de Gestión </t>
  </si>
  <si>
    <t>FODA, DN, MP, Árbol de KPI, PDCA,OWD,5XQ, ADF</t>
  </si>
  <si>
    <t>Sueño</t>
  </si>
  <si>
    <t>Sueño del distribuidor</t>
  </si>
  <si>
    <t xml:space="preserve">Distribuidor </t>
  </si>
  <si>
    <t>Tarea Critica</t>
  </si>
  <si>
    <t>Tarea critica de cada area + PI</t>
  </si>
  <si>
    <t>DEL: Junio</t>
  </si>
  <si>
    <t>5XQ</t>
  </si>
  <si>
    <t>DPO para Líderes</t>
  </si>
  <si>
    <t>Workshop DPO</t>
  </si>
  <si>
    <t>PLANEAMIENTO</t>
  </si>
  <si>
    <t>Dimensionamiento de la Instalación</t>
  </si>
  <si>
    <t>Simulador de dimensionamiento</t>
  </si>
  <si>
    <t>Gestión de Riesgos Externos</t>
  </si>
  <si>
    <t xml:space="preserve">Matriz de Riesgos y Planes de Reanudacion y Retomada </t>
  </si>
  <si>
    <t>Costos (VLC-Capex-Champions)</t>
  </si>
  <si>
    <t>Simulador de presupuesto PxQ e impacto en paquete distribucion/almacén</t>
  </si>
  <si>
    <t>Proceso de Ruterización + Planner</t>
  </si>
  <si>
    <t xml:space="preserve">Gestion de Ruteo </t>
  </si>
  <si>
    <t xml:space="preserve">Proceso de creacion de Planner </t>
  </si>
  <si>
    <t>SEGURIDAD</t>
  </si>
  <si>
    <t>1, 2 y 9. REPORTE DE LESIONES- DEFINCION DE SIF E INVESTIGACION DE INCIDENTES- IN ITINERE (COMMUTING)</t>
  </si>
  <si>
    <t>Material  en presentacion de  CMQ- Capacitacion en agenda por CMQ</t>
  </si>
  <si>
    <t>No debe exceder los 13 meses, según fecha realizada año anterior según cada Distribuidor</t>
  </si>
  <si>
    <t xml:space="preserve">DEFINICION, REPORTE Y GESTION DE EVENTOS: accidentes, incidentes, prevención in itinere y accidentes en comunidad, SIF, comportamientos y condiciones. </t>
  </si>
  <si>
    <t>3. TRANSPORTE SEGURO EN EL LUGAR DE TRABAJO</t>
  </si>
  <si>
    <t>Interna del Distribuidor</t>
  </si>
  <si>
    <t>PLAN DE TRAFICO Distribuidor
PROCESO CARGA/DESCARGA Y BLOQUEO DE LLAVES</t>
  </si>
  <si>
    <t xml:space="preserve">4 y 10. MANEJO MANUAL DE CARGAS (teorico y práctico) - </t>
  </si>
  <si>
    <t>Video compartifo CMQ</t>
  </si>
  <si>
    <t xml:space="preserve">Ergonomia, posiciones adecuadas
Manipulacion cajones, cajas, packs, barriles,tubos CO2, heladeras, otros (movimiento correcto)- 
Carrito de entrega 
</t>
  </si>
  <si>
    <t>5. SUSTANCIAS PELIGROSAS</t>
  </si>
  <si>
    <t>Material CMQ</t>
  </si>
  <si>
    <t>Conocimiento general: Manipulación de quimicos, compatibilidad y almacenamiento, primeros auxilios/emergencias.
Conocimiento especifico de los quimicos que manipule/intervenga</t>
  </si>
  <si>
    <t>6. ESPACIOS CONFINADOS- CONOCIMIENTO GENERAL</t>
  </si>
  <si>
    <t>Conocimiento general: qué son, riesgos, ejemplos generales y del Distribuidor, requerimientos generales para trabajos en confinado, quienes estan habilitados</t>
  </si>
  <si>
    <t>7. PREVENCION DE VIOLENCIA</t>
  </si>
  <si>
    <t>Video compartifo desde CMQ</t>
  </si>
  <si>
    <r>
      <t xml:space="preserve">Procedimiento descripto en "SOP de </t>
    </r>
    <r>
      <rPr>
        <sz val="10"/>
        <color rgb="FFFF0000"/>
        <rFont val="Calibri"/>
        <family val="2"/>
      </rPr>
      <t xml:space="preserve"> </t>
    </r>
    <r>
      <rPr>
        <sz val="10"/>
        <rFont val="Calibri"/>
        <family val="2"/>
      </rPr>
      <t>CMQ</t>
    </r>
    <r>
      <rPr>
        <sz val="10"/>
        <color rgb="FF000000"/>
        <rFont val="Calibri"/>
        <family val="2"/>
      </rPr>
      <t xml:space="preserve"> prevencion de violencia y manejo de efectivo"</t>
    </r>
  </si>
  <si>
    <t>8. CONDUCCION SEGURA/ MANEJO DEFENSIVO- CONOCIMIENTO GENERAL</t>
  </si>
  <si>
    <t>Conocimientos generales: reglas de seguridad vial, conceptos generales manejo defensivo, uso celular/dispositivos, excesos veloc, uso cinturon, consumo responsable/cero al volante, Fatiga- jornada laboral y descanso</t>
  </si>
  <si>
    <t>10.  TRABAJO EN ALTURA- CONOCIMIENTO GENERAL</t>
  </si>
  <si>
    <t>Conocimiento general: qué son, riesgos, ejemplos de lugares del Distribuidor para trabajo en altura, requerimientos generales para trabajos en altura, quienes estan habilitados. Uso plataformas en camion</t>
  </si>
  <si>
    <t>11. SAM/ LOTOTO - CONOCIMIENTO GENERAL</t>
  </si>
  <si>
    <t>Conocimiento general: qué son y como se aplica, pasos, riesgos de no aplicar, ejemplos de equipos del Distribuidor para aplicar SAM/LOTOTO y elementos para aplicar,  quienes estan habilitados</t>
  </si>
  <si>
    <t>13. MONITOREOS (OWD) /COACHING (GESTION ENFOCADA)</t>
  </si>
  <si>
    <t>Ver con gestión</t>
  </si>
  <si>
    <t>Cómo se realizan los OWD: objetivo , disparadores, gestión documental , como realizar abordaje ante desvios y feedback</t>
  </si>
  <si>
    <t>13. CONOCIMIENTO DE LOS FUNDAMENTOS BASICOS (GESTION ENFOCADA)- DPO PARA LIDERES</t>
  </si>
  <si>
    <t>FEBRERO</t>
  </si>
  <si>
    <t>WORKSHOP DE DPO, ACTUALIZACION / CAMBIOS 2026</t>
  </si>
  <si>
    <t>15. RESPUESTA A EMERGENCIAS - CONOCIMIENTO GENERAL</t>
  </si>
  <si>
    <t>Procedimiento interno del distribuidor</t>
  </si>
  <si>
    <t>Que es emergencia, tipos, emergencias que puede haber en el ambito laboral, conocimiento de procedimiento respuesta a emergencia (SOP), evacuacion, Brigada del Distribuidor y su rol</t>
  </si>
  <si>
    <t>1, 3 , 10 y 4. OPERACIÓN DE AUTOELEVADOR, MANEJO DEFENSIVO TEORICO/ PRACTICO Y CARGA DE GLP TEORICO/PRACTICO. CARGA DE BATERIA PARA AE ELECTRICOS</t>
  </si>
  <si>
    <t>Capacitacion con proveedor externo</t>
  </si>
  <si>
    <r>
      <rPr>
        <b/>
        <sz val="10"/>
        <rFont val="Calibri"/>
        <family val="2"/>
      </rPr>
      <t xml:space="preserve">Decreto 960/2015. El contenido minimo por Ley es el de abajo. ESPECIFICAR AL PROVEEDOR LOS PUNTOS EN ROJO
</t>
    </r>
    <r>
      <rPr>
        <sz val="10"/>
        <rFont val="Calibri"/>
        <family val="2"/>
      </rPr>
      <t xml:space="preserve">a) Conocimientos técnicos del autoelevador.
b) Instrucciones teóricas y prácticas de manejo y operación.
c) Información sobre la capacidad de carga y sobre la curva o tabla de cargas.
d) Reglas de seguridad y prevención de riesgos.
e) Conocimientos teóricos sobre altura máxima de estiba.
f) Programa y control diario a cargo del operador (listado de verificación o chequeo).- </t>
    </r>
    <r>
      <rPr>
        <b/>
        <sz val="10"/>
        <rFont val="Calibri"/>
        <family val="2"/>
      </rPr>
      <t>DAR EL</t>
    </r>
    <r>
      <rPr>
        <sz val="10"/>
        <rFont val="Calibri"/>
        <family val="2"/>
      </rPr>
      <t xml:space="preserve"> </t>
    </r>
    <r>
      <rPr>
        <b/>
        <sz val="10"/>
        <rFont val="Calibri"/>
        <family val="2"/>
      </rPr>
      <t xml:space="preserve">CHECK DEL AE DEL DISTRIBUIDOR
</t>
    </r>
    <r>
      <rPr>
        <sz val="10"/>
        <rFont val="Calibri"/>
        <family val="2"/>
      </rPr>
      <t xml:space="preserve">g) Manual para la conducción segura de AE
h) Velocidad de circulación.
i) Distancias mínimas respecto del peatón.
</t>
    </r>
    <r>
      <rPr>
        <b/>
        <sz val="10"/>
        <rFont val="Calibri"/>
        <family val="2"/>
      </rPr>
      <t xml:space="preserve">j) Carga de combustible(GLP), TEORICO Y PRACTICO
</t>
    </r>
    <r>
      <rPr>
        <sz val="10"/>
        <rFont val="Calibri"/>
        <family val="2"/>
      </rPr>
      <t xml:space="preserve">k) Recambio de </t>
    </r>
    <r>
      <rPr>
        <b/>
        <sz val="10"/>
        <rFont val="Calibri"/>
        <family val="2"/>
      </rPr>
      <t>baterías</t>
    </r>
    <r>
      <rPr>
        <sz val="10"/>
        <rFont val="Calibri"/>
        <family val="2"/>
      </rPr>
      <t xml:space="preserve"> </t>
    </r>
    <r>
      <rPr>
        <b/>
        <sz val="10"/>
        <rFont val="Calibri"/>
        <family val="2"/>
      </rPr>
      <t xml:space="preserve">y CARGA (TEORICO Y PRACTICO)
</t>
    </r>
    <r>
      <rPr>
        <sz val="10"/>
        <rFont val="Calibri"/>
        <family val="2"/>
      </rPr>
      <t xml:space="preserve">l) Legislación vigente.
m) Interpretación y conocimiento del manual del operador.
</t>
    </r>
    <r>
      <rPr>
        <b/>
        <sz val="10"/>
        <rFont val="Calibri"/>
        <family val="2"/>
      </rPr>
      <t>n) Correcto uso del extintor</t>
    </r>
    <r>
      <rPr>
        <sz val="10"/>
        <rFont val="Calibri"/>
        <family val="2"/>
      </rPr>
      <t xml:space="preserve"> </t>
    </r>
    <r>
      <rPr>
        <b/>
        <sz val="10"/>
        <rFont val="Calibri"/>
        <family val="2"/>
      </rPr>
      <t xml:space="preserve">(TEORICO Y PRACTICO)
</t>
    </r>
    <r>
      <rPr>
        <sz val="10"/>
        <rFont val="Calibri"/>
        <family val="2"/>
      </rPr>
      <t>o) Riesgo en el inflado de neumáticos.
p) Prevención de vuelcos.</t>
    </r>
  </si>
  <si>
    <t>1, 10 y 4. OPERACION DE EQUIPO MOTORIZADO Y MANEJO DEFENSIVO, CARGA DE BATERIA PARA ELECTRICOS, CARGA DIESEL  EN Distribuidor TEORICO/PRACTICO -(CAMION, CAMIONETAS)</t>
  </si>
  <si>
    <t>Interna del Distribuidor de acuerod al tipo de bateria y proveedor</t>
  </si>
  <si>
    <t xml:space="preserve">Las practicas deben ser especificas para el chofer según tipo de camion que use: articulado, no articulado, electrico.
Diferenciar tambien en riesgos y medidas de manejo defensivo, si es manejo en ciudad (distribucion urbana) o manejo en ruta larga distancia
</t>
  </si>
  <si>
    <t>2 , 10 y 4. OPERACIÓN DE EQUIPO DE ELEVACION, MANEJO DEFENSIVO TEORICO/PRACTICO y CARGA DE BATERIA (ZORRA ELECTRICA, MANUAL, HOMBRE A BORDO)</t>
  </si>
  <si>
    <t>La teorica y practica debe ser especifica por tipo de zorra que use la persona. Diferencias entre riesgos, según cada zorra; y recomendación /prevencion</t>
  </si>
  <si>
    <t>5. CARGA DE DIESEL (GENERADOR ELECTRICO)- TEORICO PRACTICO</t>
  </si>
  <si>
    <t>Aplica cuando la carga la realiza personal del Distribuidor, si la carga la realiza proveedor no aplica la capacitacion a dar, sino que debe pedirsele al proveedor su capacitacion.
Temas: Procedimiento de carga, medidas de seguridad, riesgos, legislacion aplicable a sustancias quimicas</t>
  </si>
  <si>
    <t xml:space="preserve">6. MANEJO DE GAS COMPRIMIDO (TUBOS CO2) </t>
  </si>
  <si>
    <t xml:space="preserve">NOTA: en los Distribuidores contamos solo con Tubos Co2 
Procedimiento de manejo, manipulacion ergonomica, riesgos, legislacion aplicable a gas comprimido, verificacion de tubos, hoja de seguridad CO2, primeros auxilios, </t>
  </si>
  <si>
    <t>7 y 8. ENTRADA Y RESCATE EN ESPACIO CONFINADO - TEORICA/PRACTICA</t>
  </si>
  <si>
    <t xml:space="preserve">Requerimientos para ingreso en los espacio confinado especificos del Distribuidor: preparativos antes del ingreso, ingreso, egreso, riesgos. Rescate especifico en los espacios confinados del Distribuidor. EPPs </t>
  </si>
  <si>
    <t>9. MANEJO DE EFECTIVO</t>
  </si>
  <si>
    <t>Procedimiento descripto en "SOP de CMQ prevencion de violencia y manejo de efectivo"</t>
  </si>
  <si>
    <t>10. MANEJO DEFENSIVO TEORICO /PRACTICO MOTO (IN ITINERE)</t>
  </si>
  <si>
    <t>Video compartifo por CMQ</t>
  </si>
  <si>
    <t>SOLO APLICA A QUIENES MANEJEN MOTO</t>
  </si>
  <si>
    <t>10. MANEJO DEFENSIVO TEORICO AUTO (IN ITINERE)</t>
  </si>
  <si>
    <t>SOLO APLICA A QUIENES MANEJEN AUTO</t>
  </si>
  <si>
    <t>11. TRABAJO EN ALTURA- TEORICO PRACTICO PARA HABILITAR EMPLEADOS</t>
  </si>
  <si>
    <t xml:space="preserve">Requerimientos para trabajos en altura especificos del Distribuidor: preparativos, trabajo en altura, riesgos, EPPs. Procedimiento de emergencia/rescate
</t>
  </si>
  <si>
    <t>13. SAM PARA HABILITAR EMPLEADOS</t>
  </si>
  <si>
    <t>Procedimiento especifico de aplicación de SAM para el equipo/maquina que opere, riesgos, cuando aplica SAM y cuando LOTOTO</t>
  </si>
  <si>
    <t>13. LOTOTO PARA HABILITAR EMPLEADOS</t>
  </si>
  <si>
    <t>Procedimiento especifico de aplicación de LOTOTO para el equipo/maquina que le aplique, riesgos, LOTOTO grupal- multiple, tarjeta verde y uso caja bloqueo,</t>
  </si>
  <si>
    <t>14. PRIMEROS AUXILIOS/ RCP /DEA - TEORICO PRACTICO</t>
  </si>
  <si>
    <t>Interna del Distribuidor con proveedor externo</t>
  </si>
  <si>
    <t>15. BRIGADA DE EMERGENCIA - TEORICO PRACTICO</t>
  </si>
  <si>
    <t xml:space="preserve">Interna del Distribuidor </t>
  </si>
  <si>
    <t>Mandatorio: incendios (extintores, red de hidrantes, equipos SEPAC para ROS)
Buena practica: el Distribuidor puede incluir tambien otros temas para formación general  de la Brigada. Ej: explosiones, rescate en altura, confinado, derrame de combustibles, otros</t>
  </si>
  <si>
    <t>16. PERMISOS DE TRABAJO (EMISION, VERIFICACION) PARA HABILITAR EMPLEADOS</t>
  </si>
  <si>
    <t>Material bajada por CMQ</t>
  </si>
  <si>
    <t>ER del puesto de trabajo, Procedimiento de trabajo/ SOPs de Seguridad, ER rutas criticas</t>
  </si>
  <si>
    <t>Repasar las ER del puesto, con riesgos, EPPs, medidas; y SOP asociados</t>
  </si>
  <si>
    <t>16.2 Entrenamiento de Liderazgo en seguridad: OLT (NIVEL I). Para Lideres
NUEVOS/Lideres que no tuvieron OLT anteriormente.</t>
  </si>
  <si>
    <t>Capacitacion dictada por CMQ (virtual)</t>
  </si>
  <si>
    <t>HSMA CMQ</t>
  </si>
  <si>
    <t>Cada Distribuidor programará en base a incorporación de Lideres nuevos</t>
  </si>
  <si>
    <t xml:space="preserve">Toda persona debe tener el entrenamiento OLT; ya que es un pre-requisito para realizar luego el entrenamiento "SAFE TOGETHER" </t>
  </si>
  <si>
    <t>16.2 "SAFE TOGETHER" : Entrenamiento para aquellos Distribuidores que recibieron el OLT previamente.</t>
  </si>
  <si>
    <t>Capacitacion dictada por CMQ (presencial)</t>
  </si>
  <si>
    <t xml:space="preserve">Ver con la BU </t>
  </si>
  <si>
    <t>: Entrenamiento para formar Entrenadores. AL menos debe haber 2 entrenadores por Distribuidor  (Entrenadores: personas que luego deberán bajar el entrenamiento a toda la operación).</t>
  </si>
  <si>
    <t>Riesgos Eléctricos CONOCIMIENTO GENERAL</t>
  </si>
  <si>
    <t>Video centralizadoc aun no finalizado</t>
  </si>
  <si>
    <t>ABRIL (capacitación nueva 2026)</t>
  </si>
  <si>
    <t>Conocimiento de riesgo electricos, medidas de prevencion, qué verificar, reglas de Oro, EPPs</t>
  </si>
  <si>
    <t>SALUD OCUPACIONAL</t>
  </si>
  <si>
    <t>Que es salud ocupacional, como trabajmos en cuidar la salud en el ambito laboral (cada Distribuidor puede presentar sus programaas propios de salud), link con ergonomia</t>
  </si>
  <si>
    <t>MANDATORIO Corte con Vidrio</t>
  </si>
  <si>
    <t>Video bajado por CMQ</t>
  </si>
  <si>
    <t>Riesgos, practicas correctas, EPP por puesto, medidas de prevencion</t>
  </si>
  <si>
    <t xml:space="preserve"> Ejecución del proceso Carga y Descarga </t>
  </si>
  <si>
    <t>Material (PPT) bjada por CMQ</t>
  </si>
  <si>
    <t>No debe exceder los 13 meses , según fecha realizada año anterior según cada Distribuidor</t>
  </si>
  <si>
    <t>Carga y descarga de camiónes en Almacen (interacción Ae y choferes)</t>
  </si>
  <si>
    <t>No realizado</t>
  </si>
  <si>
    <t>Reprogramado</t>
  </si>
  <si>
    <t>PILAR</t>
  </si>
  <si>
    <t>% CUMPLIMIENTO ACUMULADO</t>
  </si>
  <si>
    <t>REALIZADO</t>
  </si>
  <si>
    <t>PROGRAMADO</t>
  </si>
  <si>
    <t>CANCELADO</t>
  </si>
  <si>
    <t>Seguridad</t>
  </si>
  <si>
    <t>Gente</t>
  </si>
  <si>
    <t>Almacén</t>
  </si>
  <si>
    <t>Entrega</t>
  </si>
  <si>
    <t>Flota</t>
  </si>
  <si>
    <t>Planeamiento</t>
  </si>
  <si>
    <t>Gestión</t>
  </si>
  <si>
    <t>Cumplimiento</t>
  </si>
  <si>
    <t>Material Arg</t>
  </si>
  <si>
    <t>Centralizado</t>
  </si>
  <si>
    <t>Ver material Brasil</t>
  </si>
  <si>
    <t>ALMACÉN</t>
  </si>
  <si>
    <t>Clasificación de activos Marketplace</t>
  </si>
  <si>
    <t>Reempaque</t>
  </si>
  <si>
    <t>Devoluciones &amp; Rechazos</t>
  </si>
  <si>
    <t>Picking - Abastecimento &amp; Reabastecimento</t>
  </si>
  <si>
    <t>Productividad</t>
  </si>
  <si>
    <t>Inventario</t>
  </si>
  <si>
    <t>Recepción + Carga y Descarga de Camiones</t>
  </si>
  <si>
    <t>Train the Trainers</t>
  </si>
  <si>
    <t>Reclutamiento &amp; Selección</t>
  </si>
  <si>
    <t>Matriz de SKAP</t>
  </si>
  <si>
    <t>Semana Diversidad e Inclusión</t>
  </si>
  <si>
    <t>Cultura</t>
  </si>
  <si>
    <t>Seguridad Psicológica</t>
  </si>
  <si>
    <t>Ética y Compliance</t>
  </si>
  <si>
    <t>Equipos Autónomos</t>
  </si>
  <si>
    <t>Herramientas digitales (Bees, Ginfo, Payflow)</t>
  </si>
  <si>
    <t>Costos (VLC)</t>
  </si>
  <si>
    <t>Gestión OTIF</t>
  </si>
  <si>
    <t>Flex Delivery</t>
  </si>
  <si>
    <t>Proceso de Ruterización</t>
  </si>
  <si>
    <t>Dimensionamiento</t>
  </si>
  <si>
    <t>Planner</t>
  </si>
  <si>
    <t>Costos (VLC-Capex-Fabric-Champions)</t>
  </si>
  <si>
    <t>4 y 10. MANEJO MANUAL DE CARGAS (teorico y práctico) - SALUD OCUPACIONAL</t>
  </si>
  <si>
    <t>12. MONITOREO DE SEGURIDAD (OWD) /COACHING (GESTION ENFOCADA)</t>
  </si>
  <si>
    <t>1, 10 y 4. OPERACION DE EQUIPO MOTORIZADO Y MANEJO DEFENSIVO, CARGA DE BATERIA PARA ELECTRICOS, CARGA DIESEL  EN CD TEORICO/PRACTICO -(CAMION, VEHICULO DE UDC)</t>
  </si>
  <si>
    <t>2. OPERACIÓN DE EQUIPO DE ELEVACION (elevador de Zorra/AE). Aplica solo a MC</t>
  </si>
  <si>
    <t>6. MANEJO DE GAS COMPRIMIDO (TUBOS CO2)</t>
  </si>
  <si>
    <t>10. MANEJO DEFENSIVO TEORICO /PRACTICO AUTO (IN ITINERE)</t>
  </si>
  <si>
    <t>11. TRABAJO EN ALTURA- TEORICO PRACTICO</t>
  </si>
  <si>
    <t>12. SAM</t>
  </si>
  <si>
    <t>13. LOTOTO</t>
  </si>
  <si>
    <t>16. PERMISOS DE TRABAJO (EMISION, VERIFICACION)</t>
  </si>
  <si>
    <t>CREDIT 360</t>
  </si>
  <si>
    <t>16.2 Entrenamiento de Liderazgo en seguridad: OLT (NIVEL I). Para Lideres
 (SOLO Para Lideres/ Safety NUEVOS O QUE NUNCA LO HAYAN REALIZADO)</t>
  </si>
  <si>
    <t>16.2 "SAFE TOGETHER": entrenamiento de Liderazgo en seguridad (NIVEL II). Formación para Entrenadores</t>
  </si>
  <si>
    <t>16.2 "SAFE TOGETHER": entrenamiento de Liderazgo en seguridad (NIVEL II). Entrenamiento para 100% Lideres y para operadores según cronograma del CD validado por la BU</t>
  </si>
  <si>
    <t>2. OPERACIÓN DE EQUIPO DE ELEVACION TEORICA /PRACTICA (EQUIPO PESO CERO DE BARRILES), SOLO PARA ROS I, CBA Y TUC</t>
  </si>
  <si>
    <t>2. OPERACIÓN DE EQUIPO DE ELEVACION (GATO HIDRAULICO)- TEORICO, aplica a los CDs que usen Gato</t>
  </si>
  <si>
    <t>Plataforma Telemetria Aes</t>
  </si>
  <si>
    <t>CÓDIGO</t>
  </si>
  <si>
    <t>CAPACITACIÓN</t>
  </si>
  <si>
    <t>MATERIAL AUDIOVISUAL</t>
  </si>
  <si>
    <t>G.01</t>
  </si>
  <si>
    <t>CHECK</t>
  </si>
  <si>
    <t>G.02</t>
  </si>
  <si>
    <t>FINALIZADO</t>
  </si>
  <si>
    <t>G.03</t>
  </si>
  <si>
    <t>G.04</t>
  </si>
  <si>
    <t>PENDIENTE</t>
  </si>
  <si>
    <t>G.05</t>
  </si>
  <si>
    <t>N/a</t>
  </si>
  <si>
    <t>G.06</t>
  </si>
  <si>
    <t>EN CURSO</t>
  </si>
  <si>
    <t>G.07</t>
  </si>
  <si>
    <t>G.08</t>
  </si>
  <si>
    <t>AL.01</t>
  </si>
  <si>
    <t>AL. 02</t>
  </si>
  <si>
    <t>AL.03</t>
  </si>
  <si>
    <t xml:space="preserve">Clasificación de activos </t>
  </si>
  <si>
    <t>AL.04</t>
  </si>
  <si>
    <t>AL.05</t>
  </si>
  <si>
    <t>AL.06</t>
  </si>
  <si>
    <t>AL.07</t>
  </si>
  <si>
    <t>AL.08</t>
  </si>
  <si>
    <t>AL.09</t>
  </si>
  <si>
    <t>EN.01</t>
  </si>
  <si>
    <t>EN.02</t>
  </si>
  <si>
    <t>EN.03</t>
  </si>
  <si>
    <t>EN.04</t>
  </si>
  <si>
    <t>EN.05</t>
  </si>
  <si>
    <t>EN.06</t>
  </si>
  <si>
    <t>EN.07</t>
  </si>
  <si>
    <t>EN.08</t>
  </si>
  <si>
    <t>EN.09</t>
  </si>
  <si>
    <t>EN.10</t>
  </si>
  <si>
    <t>EN.11</t>
  </si>
  <si>
    <t>GT. 01</t>
  </si>
  <si>
    <t>GT.02</t>
  </si>
  <si>
    <t>GT.03</t>
  </si>
  <si>
    <t>GT.04</t>
  </si>
  <si>
    <t>GT.05</t>
  </si>
  <si>
    <t>GT.06</t>
  </si>
  <si>
    <t>PL. 01</t>
  </si>
  <si>
    <t>PL.02</t>
  </si>
  <si>
    <t>PL.03</t>
  </si>
  <si>
    <t>PL.04</t>
  </si>
  <si>
    <t>FL.01</t>
  </si>
  <si>
    <t>FL. 02</t>
  </si>
  <si>
    <t>FL. 03</t>
  </si>
  <si>
    <t>FL. 04</t>
  </si>
  <si>
    <t>FL. 05</t>
  </si>
  <si>
    <t>FL. 06</t>
  </si>
  <si>
    <t>Camaras Frías?</t>
  </si>
  <si>
    <t>Gente &amp; Gestión, ver que hay de SAZ</t>
  </si>
  <si>
    <t>Camiones eléctricos?</t>
  </si>
  <si>
    <t>Bees Academy</t>
  </si>
  <si>
    <t>Marketplace --&gt; actualizar con realidad actual</t>
  </si>
  <si>
    <t>Medidas Disciplinarias, ver que hay de SAZ</t>
  </si>
  <si>
    <t>Apiladoras eléctricas?</t>
  </si>
  <si>
    <t>Sustentabilidad?</t>
  </si>
  <si>
    <t>Descarte de residuos de mantenimiento?</t>
  </si>
  <si>
    <t>Taller?</t>
  </si>
  <si>
    <t>ABRIL</t>
  </si>
  <si>
    <t>MAYO</t>
  </si>
  <si>
    <t>JUNIO</t>
  </si>
  <si>
    <t>MARZO</t>
  </si>
  <si>
    <t>JULIO</t>
  </si>
  <si>
    <t>Fecha de capacitacion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</si>
</sst>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b/>
      <sz val="14"/>
      <name val="Century Gothic"/>
      <family val="2"/>
    </font>
    <font>
      <b/>
      <sz val="14"/>
      <color theme="0"/>
      <name val="Century Gothic"/>
      <family val="2"/>
    </font>
    <font>
      <b/>
      <sz val="12"/>
      <color theme="0"/>
      <name val="Century Gothic"/>
      <family val="2"/>
    </font>
    <font>
      <b/>
      <sz val="12"/>
      <color theme="0"/>
      <name val="Calibri Light"/>
      <family val="2"/>
      <scheme val="major"/>
    </font>
    <font>
      <sz val="10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000000"/>
      <name val="Calibri"/>
      <family val="2"/>
    </font>
    <font>
      <sz val="10"/>
      <name val="Calibri"/>
      <family val="2"/>
    </font>
    <font>
      <sz val="10"/>
      <color rgb="FFFF0000"/>
      <name val="Calibri"/>
      <family val="2"/>
    </font>
    <font>
      <b/>
      <sz val="22"/>
      <name val="Century Gothic"/>
      <family val="2"/>
    </font>
    <font>
      <b/>
      <sz val="10"/>
      <name val="Calibri"/>
      <family val="2"/>
    </font>
    <font>
      <b/>
      <sz val="10"/>
      <color theme="1"/>
      <name val="Calibri Light"/>
      <family val="2"/>
      <scheme val="maj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rgb="FF63A4F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A2A2A2"/>
        <bgColor indexed="64"/>
      </patternFill>
    </fill>
    <fill>
      <patternFill patternType="solid">
        <fgColor rgb="FF76E3FF"/>
        <bgColor indexed="64"/>
      </patternFill>
    </fill>
    <fill>
      <patternFill patternType="solid">
        <fgColor rgb="FF003366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249977111117893"/>
      </left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medium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medium">
        <color indexed="64"/>
      </right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</borders>
  <cellStyleXfs count="3">
    <xf numFmtId="0" fontId="0" fillId="0" borderId="0"/>
    <xf numFmtId="0" fontId="1" fillId="0" borderId="0"/>
    <xf numFmtId="9" fontId="2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8" fillId="2" borderId="1" xfId="1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9" fillId="0" borderId="0" xfId="0" applyFont="1" applyAlignment="1">
      <alignment horizontal="center" wrapText="1"/>
    </xf>
    <xf numFmtId="0" fontId="11" fillId="5" borderId="0" xfId="0" applyFont="1" applyFill="1" applyAlignment="1">
      <alignment horizontal="center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11" fillId="7" borderId="0" xfId="0" applyFont="1" applyFill="1" applyAlignment="1">
      <alignment horizontal="center"/>
    </xf>
    <xf numFmtId="0" fontId="8" fillId="2" borderId="0" xfId="1" applyFont="1" applyFill="1" applyAlignment="1" applyProtection="1">
      <alignment horizontal="left" vertical="center" wrapText="1"/>
      <protection locked="0"/>
    </xf>
    <xf numFmtId="0" fontId="8" fillId="2" borderId="0" xfId="0" applyFont="1" applyFill="1" applyAlignment="1">
      <alignment horizontal="left" vertical="center" wrapText="1"/>
    </xf>
    <xf numFmtId="0" fontId="8" fillId="2" borderId="0" xfId="0" applyFont="1" applyFill="1" applyAlignment="1" applyProtection="1">
      <alignment horizontal="left" vertical="center" wrapText="1"/>
      <protection locked="0"/>
    </xf>
    <xf numFmtId="0" fontId="10" fillId="2" borderId="0" xfId="0" applyFont="1" applyFill="1" applyAlignment="1">
      <alignment horizontal="left" vertical="center" wrapText="1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2" borderId="1" xfId="1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5" fillId="0" borderId="0" xfId="0" applyFont="1"/>
    <xf numFmtId="0" fontId="8" fillId="2" borderId="0" xfId="1" applyFont="1" applyFill="1" applyAlignment="1" applyProtection="1">
      <alignment horizontal="center" vertical="center" wrapText="1"/>
      <protection locked="0"/>
    </xf>
    <xf numFmtId="0" fontId="8" fillId="0" borderId="0" xfId="1" applyFont="1" applyAlignment="1" applyProtection="1">
      <alignment horizontal="center" vertical="center" wrapText="1"/>
      <protection locked="0"/>
    </xf>
    <xf numFmtId="0" fontId="14" fillId="4" borderId="1" xfId="0" applyFont="1" applyFill="1" applyBorder="1" applyAlignment="1">
      <alignment horizontal="center"/>
    </xf>
    <xf numFmtId="0" fontId="14" fillId="10" borderId="1" xfId="0" applyFont="1" applyFill="1" applyBorder="1" applyAlignment="1">
      <alignment horizontal="center"/>
    </xf>
    <xf numFmtId="0" fontId="14" fillId="9" borderId="1" xfId="0" applyFont="1" applyFill="1" applyBorder="1" applyAlignment="1">
      <alignment horizontal="center"/>
    </xf>
    <xf numFmtId="0" fontId="14" fillId="8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6" fillId="3" borderId="0" xfId="0" applyFont="1" applyFill="1" applyAlignment="1">
      <alignment horizontal="center"/>
    </xf>
    <xf numFmtId="0" fontId="10" fillId="0" borderId="1" xfId="0" applyFont="1" applyBorder="1" applyAlignment="1">
      <alignment horizontal="center" wrapText="1"/>
    </xf>
    <xf numFmtId="0" fontId="10" fillId="2" borderId="1" xfId="0" applyFont="1" applyFill="1" applyBorder="1" applyAlignment="1">
      <alignment horizontal="center" wrapText="1"/>
    </xf>
    <xf numFmtId="0" fontId="10" fillId="2" borderId="7" xfId="0" applyFont="1" applyFill="1" applyBorder="1" applyAlignment="1">
      <alignment horizontal="center" wrapText="1"/>
    </xf>
    <xf numFmtId="0" fontId="8" fillId="7" borderId="1" xfId="1" applyFont="1" applyFill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>
      <alignment horizontal="center" vertical="center" wrapText="1"/>
    </xf>
    <xf numFmtId="0" fontId="8" fillId="2" borderId="7" xfId="1" applyFont="1" applyFill="1" applyBorder="1" applyAlignment="1" applyProtection="1">
      <alignment horizontal="center" vertical="center" wrapText="1"/>
      <protection locked="0"/>
    </xf>
    <xf numFmtId="0" fontId="8" fillId="2" borderId="8" xfId="1" applyFont="1" applyFill="1" applyBorder="1" applyAlignment="1" applyProtection="1">
      <alignment horizontal="center" vertical="center" wrapText="1"/>
      <protection locked="0"/>
    </xf>
    <xf numFmtId="0" fontId="8" fillId="2" borderId="9" xfId="1" applyFont="1" applyFill="1" applyBorder="1" applyAlignment="1" applyProtection="1">
      <alignment horizontal="center" vertical="center" wrapText="1"/>
      <protection locked="0"/>
    </xf>
    <xf numFmtId="0" fontId="11" fillId="12" borderId="1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wrapText="1"/>
    </xf>
    <xf numFmtId="0" fontId="11" fillId="12" borderId="18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5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7" fillId="12" borderId="10" xfId="1" applyFont="1" applyFill="1" applyBorder="1" applyAlignment="1">
      <alignment horizontal="center" vertical="center" wrapText="1"/>
    </xf>
    <xf numFmtId="0" fontId="5" fillId="12" borderId="19" xfId="1" applyFont="1" applyFill="1" applyBorder="1" applyAlignment="1">
      <alignment horizontal="center" vertical="center" wrapText="1"/>
    </xf>
    <xf numFmtId="0" fontId="7" fillId="12" borderId="20" xfId="1" applyFont="1" applyFill="1" applyBorder="1" applyAlignment="1">
      <alignment horizontal="center" vertical="center" wrapText="1"/>
    </xf>
    <xf numFmtId="0" fontId="7" fillId="12" borderId="21" xfId="1" applyFont="1" applyFill="1" applyBorder="1" applyAlignment="1">
      <alignment horizontal="center" vertical="center" wrapText="1"/>
    </xf>
    <xf numFmtId="0" fontId="7" fillId="12" borderId="22" xfId="1" applyFont="1" applyFill="1" applyBorder="1" applyAlignment="1">
      <alignment horizontal="center" vertical="center" wrapText="1"/>
    </xf>
    <xf numFmtId="0" fontId="7" fillId="12" borderId="23" xfId="1" applyFont="1" applyFill="1" applyBorder="1" applyAlignment="1">
      <alignment horizontal="center" vertical="center" wrapText="1"/>
    </xf>
    <xf numFmtId="14" fontId="4" fillId="0" borderId="0" xfId="1" applyNumberFormat="1" applyFont="1" applyAlignment="1">
      <alignment horizontal="center" vertical="center" wrapText="1"/>
    </xf>
    <xf numFmtId="0" fontId="17" fillId="13" borderId="24" xfId="0" applyFont="1" applyFill="1" applyBorder="1"/>
    <xf numFmtId="0" fontId="17" fillId="13" borderId="24" xfId="0" applyFont="1" applyFill="1" applyBorder="1" applyAlignment="1">
      <alignment wrapText="1"/>
    </xf>
    <xf numFmtId="0" fontId="17" fillId="13" borderId="25" xfId="0" applyFont="1" applyFill="1" applyBorder="1" applyAlignment="1">
      <alignment wrapText="1"/>
    </xf>
    <xf numFmtId="0" fontId="17" fillId="13" borderId="25" xfId="0" applyFont="1" applyFill="1" applyBorder="1"/>
    <xf numFmtId="0" fontId="17" fillId="13" borderId="26" xfId="0" applyFont="1" applyFill="1" applyBorder="1"/>
    <xf numFmtId="0" fontId="7" fillId="6" borderId="0" xfId="1" applyFont="1" applyFill="1" applyAlignment="1">
      <alignment horizontal="center" vertical="center" textRotation="90" wrapText="1"/>
    </xf>
    <xf numFmtId="0" fontId="9" fillId="2" borderId="1" xfId="0" applyFont="1" applyFill="1" applyBorder="1" applyAlignment="1">
      <alignment horizont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wrapText="1"/>
    </xf>
    <xf numFmtId="0" fontId="8" fillId="0" borderId="1" xfId="0" applyFont="1" applyBorder="1" applyAlignment="1">
      <alignment horizontal="left" vertical="center" wrapText="1"/>
    </xf>
    <xf numFmtId="0" fontId="17" fillId="13" borderId="24" xfId="0" applyFont="1" applyFill="1" applyBorder="1" applyAlignment="1">
      <alignment horizontal="center" wrapText="1"/>
    </xf>
    <xf numFmtId="0" fontId="17" fillId="13" borderId="25" xfId="0" applyFont="1" applyFill="1" applyBorder="1" applyAlignment="1">
      <alignment horizontal="center" wrapText="1"/>
    </xf>
    <xf numFmtId="14" fontId="8" fillId="2" borderId="1" xfId="1" applyNumberFormat="1" applyFont="1" applyFill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wrapText="1"/>
    </xf>
    <xf numFmtId="0" fontId="22" fillId="0" borderId="1" xfId="0" applyFont="1" applyBorder="1" applyAlignment="1">
      <alignment horizontal="center" wrapText="1"/>
    </xf>
    <xf numFmtId="0" fontId="24" fillId="14" borderId="1" xfId="0" applyFont="1" applyFill="1" applyBorder="1"/>
    <xf numFmtId="0" fontId="24" fillId="15" borderId="1" xfId="0" applyFont="1" applyFill="1" applyBorder="1"/>
    <xf numFmtId="0" fontId="24" fillId="7" borderId="1" xfId="0" applyFont="1" applyFill="1" applyBorder="1"/>
    <xf numFmtId="0" fontId="24" fillId="16" borderId="1" xfId="0" applyFont="1" applyFill="1" applyBorder="1"/>
    <xf numFmtId="0" fontId="24" fillId="17" borderId="1" xfId="0" applyFont="1" applyFill="1" applyBorder="1"/>
    <xf numFmtId="0" fontId="24" fillId="18" borderId="1" xfId="0" applyFont="1" applyFill="1" applyBorder="1"/>
    <xf numFmtId="0" fontId="24" fillId="19" borderId="1" xfId="0" applyFont="1" applyFill="1" applyBorder="1"/>
    <xf numFmtId="0" fontId="25" fillId="20" borderId="1" xfId="0" applyFont="1" applyFill="1" applyBorder="1"/>
    <xf numFmtId="164" fontId="25" fillId="20" borderId="1" xfId="0" applyNumberFormat="1" applyFont="1" applyFill="1" applyBorder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25" fillId="20" borderId="1" xfId="0" applyFont="1" applyFill="1" applyBorder="1" applyAlignment="1">
      <alignment vertical="center"/>
    </xf>
    <xf numFmtId="0" fontId="25" fillId="20" borderId="1" xfId="0" applyFont="1" applyFill="1" applyBorder="1" applyAlignment="1">
      <alignment horizontal="center" vertical="center" wrapText="1"/>
    </xf>
    <xf numFmtId="0" fontId="25" fillId="20" borderId="1" xfId="0" applyFont="1" applyFill="1" applyBorder="1" applyAlignment="1">
      <alignment horizontal="center" vertical="center"/>
    </xf>
    <xf numFmtId="164" fontId="24" fillId="2" borderId="1" xfId="2" applyNumberFormat="1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0" fontId="10" fillId="0" borderId="7" xfId="0" applyFont="1" applyBorder="1" applyAlignment="1">
      <alignment horizontal="center" vertical="center" wrapText="1"/>
    </xf>
    <xf numFmtId="0" fontId="8" fillId="0" borderId="7" xfId="1" applyFont="1" applyBorder="1" applyAlignment="1" applyProtection="1">
      <alignment horizontal="center" vertical="center" wrapText="1"/>
      <protection locked="0"/>
    </xf>
    <xf numFmtId="0" fontId="8" fillId="0" borderId="1" xfId="1" applyFont="1" applyBorder="1" applyAlignment="1" applyProtection="1">
      <alignment horizontal="center" vertical="center" wrapText="1"/>
      <protection locked="0"/>
    </xf>
    <xf numFmtId="0" fontId="5" fillId="12" borderId="13" xfId="1" applyFont="1" applyFill="1" applyBorder="1" applyAlignment="1">
      <alignment horizontal="center" vertical="center" wrapText="1"/>
    </xf>
    <xf numFmtId="0" fontId="8" fillId="0" borderId="8" xfId="1" applyFont="1" applyBorder="1" applyAlignment="1" applyProtection="1">
      <alignment horizontal="center" vertical="center" wrapText="1"/>
      <protection locked="0"/>
    </xf>
    <xf numFmtId="0" fontId="8" fillId="0" borderId="9" xfId="1" applyFont="1" applyBorder="1" applyAlignment="1" applyProtection="1">
      <alignment horizontal="center" vertical="center" wrapText="1"/>
      <protection locked="0"/>
    </xf>
    <xf numFmtId="0" fontId="8" fillId="2" borderId="7" xfId="1" applyFont="1" applyFill="1" applyBorder="1" applyAlignment="1" applyProtection="1">
      <alignment horizontal="center" vertical="center" wrapText="1"/>
      <protection locked="0"/>
    </xf>
    <xf numFmtId="0" fontId="8" fillId="2" borderId="8" xfId="1" applyFont="1" applyFill="1" applyBorder="1" applyAlignment="1" applyProtection="1">
      <alignment horizontal="center" vertical="center" wrapText="1"/>
      <protection locked="0"/>
    </xf>
    <xf numFmtId="0" fontId="8" fillId="2" borderId="9" xfId="1" applyFont="1" applyFill="1" applyBorder="1" applyAlignment="1" applyProtection="1">
      <alignment horizontal="center" vertical="center" wrapText="1"/>
      <protection locked="0"/>
    </xf>
    <xf numFmtId="0" fontId="7" fillId="6" borderId="6" xfId="1" applyFont="1" applyFill="1" applyBorder="1" applyAlignment="1">
      <alignment horizontal="center" vertical="center" textRotation="90" wrapText="1"/>
    </xf>
    <xf numFmtId="0" fontId="7" fillId="6" borderId="0" xfId="1" applyFont="1" applyFill="1" applyAlignment="1">
      <alignment horizontal="center" vertical="center" textRotation="90" wrapText="1"/>
    </xf>
    <xf numFmtId="0" fontId="7" fillId="6" borderId="1" xfId="1" applyFont="1" applyFill="1" applyBorder="1" applyAlignment="1">
      <alignment horizontal="center" vertical="center" textRotation="90" wrapText="1"/>
    </xf>
    <xf numFmtId="0" fontId="8" fillId="2" borderId="1" xfId="1" applyFont="1" applyFill="1" applyBorder="1" applyAlignment="1" applyProtection="1">
      <alignment horizontal="center" vertical="center" wrapText="1"/>
      <protection locked="0"/>
    </xf>
    <xf numFmtId="0" fontId="7" fillId="6" borderId="7" xfId="1" applyFont="1" applyFill="1" applyBorder="1" applyAlignment="1">
      <alignment horizontal="center" vertical="center" textRotation="90" wrapText="1"/>
    </xf>
    <xf numFmtId="0" fontId="7" fillId="6" borderId="8" xfId="1" applyFont="1" applyFill="1" applyBorder="1" applyAlignment="1">
      <alignment horizontal="center" vertical="center" textRotation="90" wrapText="1"/>
    </xf>
    <xf numFmtId="0" fontId="7" fillId="6" borderId="14" xfId="1" applyFont="1" applyFill="1" applyBorder="1" applyAlignment="1">
      <alignment horizontal="center" vertical="center" textRotation="90" wrapText="1"/>
    </xf>
    <xf numFmtId="0" fontId="7" fillId="6" borderId="15" xfId="1" applyFont="1" applyFill="1" applyBorder="1" applyAlignment="1">
      <alignment horizontal="center" vertical="center" textRotation="90" wrapText="1"/>
    </xf>
    <xf numFmtId="0" fontId="7" fillId="6" borderId="16" xfId="1" applyFont="1" applyFill="1" applyBorder="1" applyAlignment="1">
      <alignment horizontal="center" vertical="center" textRotation="90" wrapText="1"/>
    </xf>
    <xf numFmtId="0" fontId="7" fillId="6" borderId="7" xfId="1" applyFont="1" applyFill="1" applyBorder="1" applyAlignment="1">
      <alignment horizontal="center" vertical="center" textRotation="90"/>
    </xf>
    <xf numFmtId="0" fontId="7" fillId="6" borderId="8" xfId="1" applyFont="1" applyFill="1" applyBorder="1" applyAlignment="1">
      <alignment horizontal="center" vertical="center" textRotation="90"/>
    </xf>
    <xf numFmtId="0" fontId="7" fillId="6" borderId="9" xfId="1" applyFont="1" applyFill="1" applyBorder="1" applyAlignment="1">
      <alignment horizontal="center" vertical="center" textRotation="90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8" fillId="0" borderId="9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 wrapText="1"/>
    </xf>
    <xf numFmtId="0" fontId="20" fillId="0" borderId="4" xfId="1" applyFont="1" applyBorder="1" applyAlignment="1">
      <alignment horizontal="center" vertical="center" wrapText="1"/>
    </xf>
    <xf numFmtId="0" fontId="20" fillId="0" borderId="5" xfId="1" applyFont="1" applyBorder="1" applyAlignment="1">
      <alignment horizontal="center" vertical="center" wrapText="1"/>
    </xf>
    <xf numFmtId="0" fontId="6" fillId="12" borderId="2" xfId="1" applyFont="1" applyFill="1" applyBorder="1" applyAlignment="1">
      <alignment horizontal="center" wrapText="1"/>
    </xf>
    <xf numFmtId="0" fontId="5" fillId="12" borderId="19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5" fillId="12" borderId="12" xfId="1" applyFont="1" applyFill="1" applyBorder="1" applyAlignment="1">
      <alignment horizontal="center" vertical="center" wrapText="1"/>
    </xf>
    <xf numFmtId="0" fontId="4" fillId="0" borderId="0" xfId="1" applyFont="1" applyAlignment="1">
      <alignment horizontal="center" vertical="center"/>
    </xf>
    <xf numFmtId="0" fontId="9" fillId="0" borderId="7" xfId="0" applyFont="1" applyBorder="1" applyAlignment="1">
      <alignment horizontal="center" wrapText="1"/>
    </xf>
    <xf numFmtId="0" fontId="9" fillId="0" borderId="9" xfId="0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0" fontId="14" fillId="8" borderId="1" xfId="0" applyFont="1" applyFill="1" applyBorder="1" applyAlignment="1">
      <alignment horizontal="center" vertical="center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4" fillId="9" borderId="1" xfId="0" applyFont="1" applyFill="1" applyBorder="1" applyAlignment="1">
      <alignment horizontal="center" vertical="center"/>
    </xf>
  </cellXfs>
  <cellStyles count="3">
    <cellStyle name="Normal" xfId="0" builtinId="0"/>
    <cellStyle name="Normal 2" xfId="1" xr:uid="{C63315FA-2348-4DA6-910C-BF8A8BB2404D}"/>
    <cellStyle name="Porcentaje" xfId="2" builtinId="5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hyperlink" Target="#Plan8!A1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4F795F-073B-472F-86AE-B8963058A3C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B9B987F-457A-4733-B9C1-DF7832B6BC6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ABFB55-D33B-4098-943B-9C3D31DB42A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94EE20-6AB3-4A5E-9084-DDC29E802CC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82B80F-E4A7-49DE-BAF0-6A3BFCE8817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A249C3-4DB0-4467-9CFC-1600042CEFDB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631844-5D00-45ED-95E0-C487D713C09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A13F62-9925-4AAA-857E-EBCDF3650AD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2C65AE-42E9-4ABD-90FE-CC7B0DD89F7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C0E06-10EA-48EE-9F24-45E02086FE53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D7E9F5-AF23-4C98-B330-21366D86D2A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8DE895-1E37-4379-AA2E-09927A202F1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DE8E3-1B05-4E80-9BD8-F9C9ED3ACC5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46DA44-4D2E-4D4E-AB1D-2B5C965564E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FF5F13-FF80-4A2A-8914-5345062D1B1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AEC074-CF4B-4CD4-8A02-3181AF94734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89C8-188E-4CB7-862B-7EE218C3AFB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DB8EC62-54E2-4F24-9216-2622DA0C778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9BC567-3AD6-4062-B918-1E20C076FD8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BF920B-EB0E-456C-BA7B-598543B27D7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1C5350-8FFE-4530-987B-A6248B6E2A4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FEB863-2826-4E14-BA1A-F904F77D49C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38D49-3640-474B-BA38-A50F1E77567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1ECC7-FC73-4B9A-98CA-F2CE9F84A59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4A8C9-D208-490A-B728-D3F9F86487F0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6306E-C494-43C0-A7D2-D39B6F54112A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4ED67-F390-40A2-90A6-C8BCF8BA8B08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C65A88-EE8B-4499-AB11-4B1C23B4167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D0268E-D6C1-4555-B44E-BA05E4BA4F6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67D1E7-8384-4915-A50C-93B0146E187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21B867-F36F-4A3A-BCE1-9E030FA220E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EBB5A9-2D83-4C02-8AA8-CB6F63374533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513A1E-121F-4521-A34C-160A505AAC68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3ECDFC-5AF4-4297-8D66-138315CE9AD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3005B2-40FF-4F5D-9DBC-39BC2F831DE3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F5562B-C8F3-498B-96FF-8DB8CF6113BA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AE4035-E8B4-4C9B-80DC-EF030D0ABA1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24F8D1-E2A7-4316-80BA-D48106B559D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33F13F-9F0D-46F4-A42D-8C6CA098D858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B67F8B-26CE-4D2E-9A23-7B6445EF143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B07CF4-CFE5-4A87-82DB-9F5F9159161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69A37-14C5-4A6E-8766-5EA5D7279D2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E492B9-2E0E-4539-8717-F289762FE94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1B35DC-8BF9-4003-9CBB-0A34C0B4F41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806E0-83B2-45D4-A6C7-4393C74E2C5C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376255-0CE2-4301-924D-AB76F935E87C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BB1D30-297C-4FAC-9F2F-DAEC16BA43C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6FD345-C96E-44B1-85E0-E48F12B1FAA8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459FC7-3C86-4D42-AD6C-9D0907EFB6A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1AD8BA-7C60-40D6-AB94-A7CC8F928F6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6884F9-8823-43D7-BA2B-7FC5E5EAE52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92B947-CB2F-4E6F-A1A3-E8D871877E8B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B2532B-DE0D-4ADF-874F-34992F7E2D2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56717-AB00-4E08-8138-7B4C25ABA8D3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2CEDF2-0D90-462A-8271-1D31D0DAA90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E92A04-C4A1-4E93-A283-7BE00E08FDF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0E2D12C-AA34-417D-BFB8-28A6F58EFBE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9CE4A3-55BE-4830-A65F-2FD4CAB8474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40B281-5AC0-4459-AA72-E1841BD1327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B4B468-C9D9-4790-9B2D-C578683DE610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09E9A0-4057-42BC-B669-7BE2831126C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5CF024-5244-42C8-8FE8-CABC123E3B4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19C3A1-FF64-492A-9CD1-F1198778280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770E22-5515-4DE4-A693-8FD20A46C88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B9FD85-83B1-4660-8BFB-E0DC47A761F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98D0C-1C0F-4D22-86CE-1947D224B9E3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AA8C2A-516F-4D21-A7FA-DB2B836099E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6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A08E05-BEAB-4EA4-95C1-38383651AA9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B8BCA6-0DF9-49CE-8948-AEFC0908C1C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197ED8-8488-4750-AFC0-D6937A3A9DA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AE468B-7C7A-468B-A213-D5EE58C25D5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EC1E9AD-A02D-44D1-99BE-890757240C2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DADFDC-8A38-4382-8AC7-31A9C20D519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C424B-C33A-458A-A89A-3E4DE67793A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B2D90A-488C-46EB-9DFD-51A21B9347C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569F3A-0B10-4051-A797-038747FEE3A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ABD2B4-126D-4352-9BE1-543A1FDA3B5A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7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42E281-169A-43AB-AAD5-7DBE2BE2ED0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8208BF-CCE5-4262-A017-DEC2B22830D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800B0F-5DD9-44A2-9B28-B311BBA27C8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6F26E4-27EC-4647-BA30-A826E82DAE94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B101D-6117-47FF-A9CB-05727A967B1A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546D68-14C3-46A9-8F35-789B341599D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A10D2E-C102-4530-B721-CE60650734F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C14523-4B4B-4258-9422-23596635AA0B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77AD9E-EDBA-4ACB-A120-C062090E22C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E55057-7ECB-4E06-8973-F3EA8963902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8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3A3486-C1B3-4014-B80C-6FE6CCE49B6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3252EF-ECA5-4248-ACC3-E9109B669D8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AACFF76-680B-45D6-AFF5-1483388927A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53D8A6-3E63-44EC-AC49-2E13813E306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7D05E7-DBD0-4959-BC35-090EE67FCF6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403378-F7F4-4057-8A22-9CB3D59F646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ADBD2A-23A5-4E2E-94B3-BE1EDD838CA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4EDA5-B0AB-415B-82A8-63A51FECEC6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B82D04-7D86-4C9B-97F1-89F00DB6658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A856E6-E8E9-43A4-A679-C84D8CB3F16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9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F9F32A-80E1-4BE0-A3BB-747B53B55CDA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82331C-CBF6-41E1-8C0F-DECF3E4D2B6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1F9EB4-214C-4DEE-A6A7-EBBF589EDE5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6B3DAE-80B6-49D7-B9FB-4728121D2DD2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EBAA0-43DF-45AA-B83B-58D6F7CA3C0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2D76C3-542C-41A8-8F17-7442C20F915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D8A3E9-7ACD-46E9-A113-0F869A444C4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654E5-2B56-4842-8202-C2FCB8E91BA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71F9CA-09A7-4C68-B0FF-FAC2DE05249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777111-124C-4CED-8064-C26D9F29DFC2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0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F03B99-D820-45CF-B149-610EB63BB37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2365B-E18A-4CA2-81F4-E420136BCAC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11A20-82A5-46AE-BC64-2D3667C4E9E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B2B0616-11BA-42FD-A650-B713598FDFA2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4F7206-D6B7-432E-B7A1-C0705B54F29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41BE39-B963-4C82-A3A7-E628C6ED1D6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6CAEDC-5329-4C7D-B627-242EDEE5A064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69E5FE-1CBB-422E-B570-A27E66E4627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FD8051-7E7C-4DD6-A642-710E798622C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67AE0F-EB2D-41A8-A110-7ACA803A99C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1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E43F3B-B8EC-490D-A278-B9DD2910729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37BC47-4630-4094-8AE2-D6325E65B1D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E58E39-B020-4C04-8EF4-9937CB98266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EDC647-CC7D-4708-A3F8-5ABEE2799BA3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225E85-7ADE-4B96-90D8-4E838D6553B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B6D6E9-B02B-4D7A-8E49-C8252E5670C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2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D6076D-04D9-4E31-97D3-26484D65D3A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twoCellAnchor editAs="oneCell">
    <xdr:from>
      <xdr:col>0</xdr:col>
      <xdr:colOff>247942</xdr:colOff>
      <xdr:row>0</xdr:row>
      <xdr:rowOff>117433</xdr:rowOff>
    </xdr:from>
    <xdr:to>
      <xdr:col>1</xdr:col>
      <xdr:colOff>140318</xdr:colOff>
      <xdr:row>0</xdr:row>
      <xdr:rowOff>876092</xdr:rowOff>
    </xdr:to>
    <xdr:pic>
      <xdr:nvPicPr>
        <xdr:cNvPr id="126" name="Imagem 125">
          <a:extLst>
            <a:ext uri="{FF2B5EF4-FFF2-40B4-BE49-F238E27FC236}">
              <a16:creationId xmlns:a16="http://schemas.microsoft.com/office/drawing/2014/main" id="{F3B71894-C912-4087-9FF8-1C51E43E7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942" y="117433"/>
          <a:ext cx="765501" cy="758659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8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9A6F7E-07DA-45D7-B174-4B693AA12430}"/>
            </a:ext>
          </a:extLst>
        </xdr:cNvPr>
        <xdr:cNvSpPr txBox="1">
          <a:spLocks noChangeArrowheads="1"/>
        </xdr:cNvSpPr>
      </xdr:nvSpPr>
      <xdr:spPr bwMode="auto">
        <a:xfrm>
          <a:off x="15290800" y="29800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4C0075-0D5D-4DDA-9950-F4D887625087}"/>
            </a:ext>
          </a:extLst>
        </xdr:cNvPr>
        <xdr:cNvSpPr txBox="1">
          <a:spLocks noChangeArrowheads="1"/>
        </xdr:cNvSpPr>
      </xdr:nvSpPr>
      <xdr:spPr bwMode="auto">
        <a:xfrm>
          <a:off x="16833850" y="29800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F4C2F9-EEA1-422C-9F01-33ABC08F10DC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98AD72-787A-44F9-8C8E-133AC24443F6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24F762-4ACE-422E-8A57-B41A08E8574A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7F0EFB-3B29-4037-B6A1-F4915A1A723E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B7D72B-7F6E-4E44-9564-346BF93B3E05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5905DA-F104-4923-A0F7-F111D1DE1EE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472287-58F4-4F0B-8744-42519AAE714D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5FA4F6-8CFB-4CFA-94C7-3958A397FAC8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19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FB9483-A7A5-4B6B-9FDB-129B661D1189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614581-9765-40ED-8CEF-3A330BB4B9F6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5FE151-FD9E-4DC1-B189-8E0B61B3518F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056C90-624C-429F-8C97-9FA7CD9FFE9D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7E57A7-F0B8-4581-B0FB-4E138F33F7ED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8D643-6AB2-40E6-A60D-DD63C394E895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208C90C-0B16-4F65-8110-1428D4126D27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9BF6C7-EDF4-4DFB-BB3D-26B5D49808A6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F43EA-2043-48BD-B314-15D4EAB829EA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561976-2271-4DA6-A962-7F495D92A9AC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0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E9D258-E7D4-4FFD-A429-3F2BA58C6BC8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62D6F4-EEB3-47B7-AD93-B8E4F8FF6C76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F4DAEF-1130-44F3-8E0C-EDA914126928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14B1AFD-70C6-4383-A903-D38AD9A0CE9D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823A02-6600-4C9F-937B-01CBE3756979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96D451-6825-4821-BB58-25E0C993A7C6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F5485E-A53B-4F04-A29C-5FAC2247E583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863BD5-58E9-449F-AC32-298E9ED14527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D670B1-39AC-4E89-B2FF-D8C9F2F8BE83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4CE29B-1900-4102-86F0-7EAF4AA8A13C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1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F7C9DD-9C54-4CAB-AB73-5356F5EBBDE7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F49B81-7578-4140-96DE-727C72FCE03E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7F87D5-B432-4E2B-8E2C-169C691A39D8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44A3E9-4D8F-476D-A0C8-4ACDA08BA0A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325D46-346F-4234-A1F6-0D2016F7CE9B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50F65B-E6CD-4A3E-9C5B-E1822EAAA81A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667A6C3-DF8A-4C9C-9CAC-5200710FC68C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42509B-0C5C-46BA-B252-6AE23AEAC20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58B77A-225B-41DE-ACA2-8A083CE280A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5C0F97-2B07-40DE-A092-D81D8D8FDF4E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2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127E26-7AD4-447A-81F3-ECA6F3A46B64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28E057-8551-4A93-B28F-4E12D8C6D6EA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DC6909-1EA9-4E81-8032-1870AAEA5EB8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785FF8-4C52-4BC6-9C2B-37F563551149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3DD82E-1804-441D-8615-40AF649E16D5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51D4BB-8FAA-4603-B1F2-D3A97ADFB71D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89767-1E25-405D-8F55-C4FD03153C83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57F345-CFDB-4447-9EAA-B23A2C42B395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7ED39B-5E0C-4BB4-AF60-5881D7AD7D03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2D15F-AFED-463F-A3C4-AE21E74C459D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3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70DA0-C8C0-43E2-BC5B-E812175E337C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B47294-D228-4F56-8F00-636B5EBBB944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1C0C61-95BF-4A31-BE6A-30D80851C94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B946F1-5E96-49E4-99A9-37DCAAC98E63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4152E3-E3E2-456E-A36A-576808A61D2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4F09FB-4B1E-4431-9A9C-FF078E0401A3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1A791-C313-4AD0-9AF4-547824F76DF7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D80BAC-0034-4162-A9A2-F829C2256536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D9868C-17FE-4C9E-9C33-2B3E816E1524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4E75A36-A6D6-440C-9079-BF2A8A393B5C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4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C93130-DFE0-4948-AFB9-03674BCD58EF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945FDE-A3EC-4B17-8C00-8BF282CE9B92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E9EA0D-769A-4944-A158-5517983B58AA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66115-ECDF-48BC-B8E3-71A43F22E48F}"/>
            </a:ext>
          </a:extLst>
        </xdr:cNvPr>
        <xdr:cNvSpPr txBox="1">
          <a:spLocks noChangeArrowheads="1"/>
        </xdr:cNvSpPr>
      </xdr:nvSpPr>
      <xdr:spPr bwMode="auto">
        <a:xfrm>
          <a:off x="16689917" y="36089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8A0FF9-3DAB-4622-AF88-D574A2376B8A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08A92B-E9C2-4BF5-9ECF-89709F565E73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3A48C3-450B-4512-A4E4-E82F07D69D93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E1F91-D1D5-4FA2-8DB4-EB846F593964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5C15E6-A8A0-4DE2-A677-49F582BA2F6B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54F4C-8B7F-47C2-942B-82087DEA0FFA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5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3A15B-F342-4950-BBB1-F4F9153463BE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177FA7-C7FE-47D1-B27E-680AF1B4D111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2DB89F-23D2-4441-97BA-E213B23D5144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831BCE-4A6E-446C-9A29-499E1ADE5D12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CEE9A-B6B4-4267-8F53-53392DFAA6C1}"/>
            </a:ext>
          </a:extLst>
        </xdr:cNvPr>
        <xdr:cNvSpPr txBox="1">
          <a:spLocks noChangeArrowheads="1"/>
        </xdr:cNvSpPr>
      </xdr:nvSpPr>
      <xdr:spPr bwMode="auto">
        <a:xfrm>
          <a:off x="16833850" y="311721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F5D8BF-9362-49E2-BFBD-86213ED3D3FB}"/>
            </a:ext>
          </a:extLst>
        </xdr:cNvPr>
        <xdr:cNvSpPr txBox="1">
          <a:spLocks noChangeArrowheads="1"/>
        </xdr:cNvSpPr>
      </xdr:nvSpPr>
      <xdr:spPr bwMode="auto">
        <a:xfrm>
          <a:off x="16833850" y="311721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B6FCB-A1F2-4315-9E93-D5CB33087A63}"/>
            </a:ext>
          </a:extLst>
        </xdr:cNvPr>
        <xdr:cNvSpPr txBox="1">
          <a:spLocks noChangeArrowheads="1"/>
        </xdr:cNvSpPr>
      </xdr:nvSpPr>
      <xdr:spPr bwMode="auto">
        <a:xfrm>
          <a:off x="16833850" y="318579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58EF99-70B4-488E-B03B-BA3B14DC8BC9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8A7D14-CC2C-4FA1-A148-486D690870ED}"/>
            </a:ext>
          </a:extLst>
        </xdr:cNvPr>
        <xdr:cNvSpPr txBox="1">
          <a:spLocks noChangeArrowheads="1"/>
        </xdr:cNvSpPr>
      </xdr:nvSpPr>
      <xdr:spPr bwMode="auto">
        <a:xfrm>
          <a:off x="16833850" y="33229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969B0-C5DF-44B6-B391-BD1C90F194A8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6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623590-F72D-412C-BB71-35671779550F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2441A9-347F-4EB4-8CB1-784A91634963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F44E0F0-FA98-4273-8639-7651ACC36230}"/>
            </a:ext>
          </a:extLst>
        </xdr:cNvPr>
        <xdr:cNvSpPr txBox="1">
          <a:spLocks noChangeArrowheads="1"/>
        </xdr:cNvSpPr>
      </xdr:nvSpPr>
      <xdr:spPr bwMode="auto">
        <a:xfrm>
          <a:off x="16833850" y="315150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30824B-74DE-4566-AF08-0641AC773A4E}"/>
            </a:ext>
          </a:extLst>
        </xdr:cNvPr>
        <xdr:cNvSpPr txBox="1">
          <a:spLocks noChangeArrowheads="1"/>
        </xdr:cNvSpPr>
      </xdr:nvSpPr>
      <xdr:spPr bwMode="auto">
        <a:xfrm>
          <a:off x="16833850" y="315150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32BD37-BBEB-4BA3-B297-C1C8A16E728C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26D91-5474-434B-8EEE-1070F7FCD977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E52C4A-3033-48C8-A6E6-F115FF50C305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D47513-6F29-454E-BAC7-5D19095BF916}"/>
            </a:ext>
          </a:extLst>
        </xdr:cNvPr>
        <xdr:cNvSpPr txBox="1">
          <a:spLocks noChangeArrowheads="1"/>
        </xdr:cNvSpPr>
      </xdr:nvSpPr>
      <xdr:spPr bwMode="auto">
        <a:xfrm>
          <a:off x="16833850" y="318579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20D808-FA62-4012-9F4E-1C912426DA0B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476E70-3F55-482D-B25B-92A42509EEB3}"/>
            </a:ext>
          </a:extLst>
        </xdr:cNvPr>
        <xdr:cNvSpPr txBox="1">
          <a:spLocks noChangeArrowheads="1"/>
        </xdr:cNvSpPr>
      </xdr:nvSpPr>
      <xdr:spPr bwMode="auto">
        <a:xfrm>
          <a:off x="16833850" y="33229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7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07A946-1FA5-4F77-A256-823E69DA530F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413A55-6CA6-43F1-9F4D-F5FBC7807CA1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031B05-7532-4EF7-9E6A-4CFCD4AE7AE7}"/>
            </a:ext>
          </a:extLst>
        </xdr:cNvPr>
        <xdr:cNvSpPr txBox="1">
          <a:spLocks noChangeArrowheads="1"/>
        </xdr:cNvSpPr>
      </xdr:nvSpPr>
      <xdr:spPr bwMode="auto">
        <a:xfrm>
          <a:off x="16833850" y="311721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2476CD-CC96-45BD-9C92-FFF1AEAD32BD}"/>
            </a:ext>
          </a:extLst>
        </xdr:cNvPr>
        <xdr:cNvSpPr txBox="1">
          <a:spLocks noChangeArrowheads="1"/>
        </xdr:cNvSpPr>
      </xdr:nvSpPr>
      <xdr:spPr bwMode="auto">
        <a:xfrm>
          <a:off x="16833850" y="318579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BBF6A3-F4AB-4A1E-8358-3437416D9187}"/>
            </a:ext>
          </a:extLst>
        </xdr:cNvPr>
        <xdr:cNvSpPr txBox="1">
          <a:spLocks noChangeArrowheads="1"/>
        </xdr:cNvSpPr>
      </xdr:nvSpPr>
      <xdr:spPr bwMode="auto">
        <a:xfrm>
          <a:off x="16833850" y="318579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25618D-B945-457E-AD86-FD1B93080CAE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847A5D0-0A03-4171-A064-C81FEED7FFA1}"/>
            </a:ext>
          </a:extLst>
        </xdr:cNvPr>
        <xdr:cNvSpPr txBox="1">
          <a:spLocks noChangeArrowheads="1"/>
        </xdr:cNvSpPr>
      </xdr:nvSpPr>
      <xdr:spPr bwMode="auto">
        <a:xfrm>
          <a:off x="16833850" y="33229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DFEC24-7770-4EEC-99BD-4A335A54E47D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9CB43A-96D4-4B1B-B369-ADA774504C5A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A20544-BA4F-4B7E-B98A-199D81CD5994}"/>
            </a:ext>
          </a:extLst>
        </xdr:cNvPr>
        <xdr:cNvSpPr txBox="1">
          <a:spLocks noChangeArrowheads="1"/>
        </xdr:cNvSpPr>
      </xdr:nvSpPr>
      <xdr:spPr bwMode="auto">
        <a:xfrm>
          <a:off x="16833850" y="33229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8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0D13D7-D598-4E54-962B-FDEA87C3BE7B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D6D6EC-A0DB-4FA6-8B87-FD6CC77A0F9B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4FF363-C39A-41D5-AFBA-966F500E0EDD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6630F8-62DE-4E8B-A2F0-9ECB5922BD2F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B7F37F-8A41-4E87-9A09-2ED152FEE20A}"/>
            </a:ext>
          </a:extLst>
        </xdr:cNvPr>
        <xdr:cNvSpPr txBox="1">
          <a:spLocks noChangeArrowheads="1"/>
        </xdr:cNvSpPr>
      </xdr:nvSpPr>
      <xdr:spPr bwMode="auto">
        <a:xfrm>
          <a:off x="16833850" y="30829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7082A1-DDBF-4964-9D78-DE938FB4678B}"/>
            </a:ext>
          </a:extLst>
        </xdr:cNvPr>
        <xdr:cNvSpPr txBox="1">
          <a:spLocks noChangeArrowheads="1"/>
        </xdr:cNvSpPr>
      </xdr:nvSpPr>
      <xdr:spPr bwMode="auto">
        <a:xfrm>
          <a:off x="16833850" y="311721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55F6297-B694-4575-A6E6-742373A2F8A7}"/>
            </a:ext>
          </a:extLst>
        </xdr:cNvPr>
        <xdr:cNvSpPr txBox="1">
          <a:spLocks noChangeArrowheads="1"/>
        </xdr:cNvSpPr>
      </xdr:nvSpPr>
      <xdr:spPr bwMode="auto">
        <a:xfrm>
          <a:off x="16833850" y="315150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F31DAB-189D-41BC-95CC-B8D4E0B65436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A34612-1831-41DC-8843-9F900D1ADCDF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1E89E8-A0FD-4AB8-A2BC-B158A6D07EB0}"/>
            </a:ext>
          </a:extLst>
        </xdr:cNvPr>
        <xdr:cNvSpPr txBox="1">
          <a:spLocks noChangeArrowheads="1"/>
        </xdr:cNvSpPr>
      </xdr:nvSpPr>
      <xdr:spPr bwMode="auto">
        <a:xfrm>
          <a:off x="16833850" y="33229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29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BBCE0D-7DBC-47C6-8129-1549A2802870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5AC9E3-2418-41FF-9B82-AB8BE9D9101A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FFE20A-8A99-4F1A-A228-C121FB506DC2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E31BD31-202C-4C43-A689-E0B59534EF39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B777A1-293E-4082-9BCB-727D39456B3B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0135ED-E55B-41C8-A9BE-9856CA0E2E98}"/>
            </a:ext>
          </a:extLst>
        </xdr:cNvPr>
        <xdr:cNvSpPr txBox="1">
          <a:spLocks noChangeArrowheads="1"/>
        </xdr:cNvSpPr>
      </xdr:nvSpPr>
      <xdr:spPr bwMode="auto">
        <a:xfrm>
          <a:off x="16833850" y="332295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801F4F-E05F-4133-BA17-9855EA6722D6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F05DEE-4083-407F-A7FF-6475143D649C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D34C92-370C-43B8-9003-00453B545B61}"/>
            </a:ext>
          </a:extLst>
        </xdr:cNvPr>
        <xdr:cNvSpPr txBox="1">
          <a:spLocks noChangeArrowheads="1"/>
        </xdr:cNvSpPr>
      </xdr:nvSpPr>
      <xdr:spPr bwMode="auto">
        <a:xfrm>
          <a:off x="16833850" y="339153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5B896A-E5C9-40E7-BA4C-47F8FACCB422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0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A7B143-6DF6-4898-B040-97CDBBFB1BC6}"/>
            </a:ext>
            <a:ext uri="{147F2762-F138-4A5C-976F-8EAC2B608ADB}">
              <a16:predDERef xmlns:a16="http://schemas.microsoft.com/office/drawing/2014/main" pred="{D9C24981-1C51-424D-A64E-E9AABCC07E4A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2F9A2D-DBB6-440B-88D4-58C227764880}"/>
            </a:ext>
            <a:ext uri="{147F2762-F138-4A5C-976F-8EAC2B608ADB}">
              <a16:predDERef xmlns:a16="http://schemas.microsoft.com/office/drawing/2014/main" pred="{74683F2A-6FBE-4145-8701-BEAFF6A5BC3F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9B5FD-C2C3-42C6-80B4-6B0E8FF36E6C}"/>
            </a:ext>
            <a:ext uri="{147F2762-F138-4A5C-976F-8EAC2B608ADB}">
              <a16:predDERef xmlns:a16="http://schemas.microsoft.com/office/drawing/2014/main" pred="{55CA91CF-61EF-4775-81D9-FCEBB2A290E1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C515B5-5F72-45F8-ACC4-7D567C96BC7F}"/>
            </a:ext>
            <a:ext uri="{147F2762-F138-4A5C-976F-8EAC2B608ADB}">
              <a16:predDERef xmlns:a16="http://schemas.microsoft.com/office/drawing/2014/main" pred="{7A4BE624-0D78-4502-9546-C2BFDA71B463}"/>
            </a:ext>
          </a:extLst>
        </xdr:cNvPr>
        <xdr:cNvSpPr txBox="1">
          <a:spLocks noChangeArrowheads="1"/>
        </xdr:cNvSpPr>
      </xdr:nvSpPr>
      <xdr:spPr bwMode="auto">
        <a:xfrm>
          <a:off x="16833850" y="322008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01806A-53CA-4FE0-89DE-AA4148B485CD}"/>
            </a:ext>
            <a:ext uri="{147F2762-F138-4A5C-976F-8EAC2B608ADB}">
              <a16:predDERef xmlns:a16="http://schemas.microsoft.com/office/drawing/2014/main" pred="{D01C54DA-4F53-4867-81E0-1B2BE0DFEE24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007AE8-A4C7-4E5D-9D96-E5522257CA79}"/>
            </a:ext>
            <a:ext uri="{147F2762-F138-4A5C-976F-8EAC2B608ADB}">
              <a16:predDERef xmlns:a16="http://schemas.microsoft.com/office/drawing/2014/main" pred="{CF739CE4-9251-4620-AC06-8B2F3F8DC327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B0016C-9C43-4E2E-A23E-589B7A020654}"/>
            </a:ext>
            <a:ext uri="{147F2762-F138-4A5C-976F-8EAC2B608ADB}">
              <a16:predDERef xmlns:a16="http://schemas.microsoft.com/office/drawing/2014/main" pred="{C9020843-B38F-49EC-BBDF-2DA58B5B1308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01965E-F242-4E9D-BEEB-2D3249951C9F}"/>
            </a:ext>
            <a:ext uri="{147F2762-F138-4A5C-976F-8EAC2B608ADB}">
              <a16:predDERef xmlns:a16="http://schemas.microsoft.com/office/drawing/2014/main" pred="{C7F67C10-12CE-4187-8D2A-3BFF315D4A77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F34007-F290-4DDB-BA5E-67BF5036A413}"/>
            </a:ext>
            <a:ext uri="{147F2762-F138-4A5C-976F-8EAC2B608ADB}">
              <a16:predDERef xmlns:a16="http://schemas.microsoft.com/office/drawing/2014/main" pred="{136E0B9E-126E-48E0-B775-FE34BAF39716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53E540D-C306-43C9-B8F1-01BAC209ACD5}"/>
            </a:ext>
            <a:ext uri="{147F2762-F138-4A5C-976F-8EAC2B608ADB}">
              <a16:predDERef xmlns:a16="http://schemas.microsoft.com/office/drawing/2014/main" pred="{976DF25F-D843-42AE-97EC-DD8C511F3CA6}"/>
            </a:ext>
          </a:extLst>
        </xdr:cNvPr>
        <xdr:cNvSpPr txBox="1">
          <a:spLocks noChangeArrowheads="1"/>
        </xdr:cNvSpPr>
      </xdr:nvSpPr>
      <xdr:spPr bwMode="auto">
        <a:xfrm>
          <a:off x="16833850" y="32886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1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AB7EC9-EF24-473C-8598-B222AB9EE3C3}"/>
            </a:ext>
            <a:ext uri="{147F2762-F138-4A5C-976F-8EAC2B608ADB}">
              <a16:predDERef xmlns:a16="http://schemas.microsoft.com/office/drawing/2014/main" pred="{79CCD90B-4073-49B2-AEEC-653DFC4B3F19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4FF66E-84A8-48DC-9848-FB262843057C}"/>
            </a:ext>
            <a:ext uri="{147F2762-F138-4A5C-976F-8EAC2B608ADB}">
              <a16:predDERef xmlns:a16="http://schemas.microsoft.com/office/drawing/2014/main" pred="{1B54FE16-6085-4470-A7EF-E4BCE0FCBBBA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28D5E6-9241-458F-8C62-17FF1A3265C8}"/>
            </a:ext>
            <a:ext uri="{147F2762-F138-4A5C-976F-8EAC2B608ADB}">
              <a16:predDERef xmlns:a16="http://schemas.microsoft.com/office/drawing/2014/main" pred="{D18B6452-8FB9-4C52-BE10-E9E9F97831BD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E05B29-BCDD-4899-84B4-56B9E41564DC}"/>
            </a:ext>
            <a:ext uri="{147F2762-F138-4A5C-976F-8EAC2B608ADB}">
              <a16:predDERef xmlns:a16="http://schemas.microsoft.com/office/drawing/2014/main" pred="{14C9EF4C-803E-4DC7-BCED-2F4D1317C908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EE63DE-B3CE-4068-8395-5FF0E1B90054}"/>
            </a:ext>
            <a:ext uri="{147F2762-F138-4A5C-976F-8EAC2B608ADB}">
              <a16:predDERef xmlns:a16="http://schemas.microsoft.com/office/drawing/2014/main" pred="{7172D309-F426-4898-896A-34DE48786FAA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6A31C70-4925-4A09-9CA2-1772AC01C87B}"/>
            </a:ext>
            <a:ext uri="{147F2762-F138-4A5C-976F-8EAC2B608ADB}">
              <a16:predDERef xmlns:a16="http://schemas.microsoft.com/office/drawing/2014/main" pred="{CC2BA3CA-893D-41B3-A445-3BD09B294BE5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E4DE96-D58A-438E-A31B-B2F4EBD36914}"/>
            </a:ext>
            <a:ext uri="{147F2762-F138-4A5C-976F-8EAC2B608ADB}">
              <a16:predDERef xmlns:a16="http://schemas.microsoft.com/office/drawing/2014/main" pred="{6062B7D5-AA85-4BBB-BE76-04538EC15B53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3F753-5A01-48AF-BCBE-E8CF7F25AB00}"/>
            </a:ext>
            <a:ext uri="{147F2762-F138-4A5C-976F-8EAC2B608ADB}">
              <a16:predDERef xmlns:a16="http://schemas.microsoft.com/office/drawing/2014/main" pred="{15C21C12-E4F8-4919-BDED-6A1E6F8A2486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AE846C-D06F-4371-9997-E192B9612CA2}"/>
            </a:ext>
            <a:ext uri="{147F2762-F138-4A5C-976F-8EAC2B608ADB}">
              <a16:predDERef xmlns:a16="http://schemas.microsoft.com/office/drawing/2014/main" pred="{C5836AAD-AEEE-4E0E-8ED9-94C32C72053F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F01749-7E31-42B3-B0E0-6F8E70A15508}"/>
            </a:ext>
            <a:ext uri="{147F2762-F138-4A5C-976F-8EAC2B608ADB}">
              <a16:predDERef xmlns:a16="http://schemas.microsoft.com/office/drawing/2014/main" pred="{D518754D-C5F1-4002-BE11-6F32DC42B3EB}"/>
            </a:ext>
          </a:extLst>
        </xdr:cNvPr>
        <xdr:cNvSpPr txBox="1">
          <a:spLocks noChangeArrowheads="1"/>
        </xdr:cNvSpPr>
      </xdr:nvSpPr>
      <xdr:spPr bwMode="auto">
        <a:xfrm>
          <a:off x="16833850" y="342582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2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F3160B1-83F0-432A-B2A9-3871F979295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C7869A-AB67-488B-9986-72D147F266D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83424C0-9AA5-40E1-B687-6E58D53ADE2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C38412-9DAA-461E-8F97-C53D6A9754E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176B3E-C858-404F-B957-F429804D9B0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73A2FC-6CB3-47C5-B0FF-90DAFC8B8B2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850853-6362-4645-93B8-A7D6C72C9A5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62F6E4-1822-4CDB-8B7A-36CA5DEDB98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A5BA64-12AD-42EE-AD18-8922F433138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C402D0-CB27-49AC-AAB3-28C03855F1AE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3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BBCBB-0278-4D13-8124-5083DBECC07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0E5FE2-7792-4002-9E76-3F3CA4AE915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ACE415-BDDA-430C-BDDB-93091D3218A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319F87-1902-4D6A-8446-3D0F157DF63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5072D4-6F38-466C-BA45-C912A848AD04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AF224D-3DDF-4B7E-A706-B2249706FB1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219D7D-623E-46ED-BCF6-F8607B5545B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FF7C59-C215-4C77-A613-3B29EAF0CC0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033871-043F-441F-83EF-54D2AB256412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95EBE7F-F44B-4278-88DD-95821A89051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4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77D56E-3D9E-4C7D-888C-519A4273120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44BAED-A0DC-4368-B269-811EF2C08DD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08386D-7B48-4DF2-9639-99E61CECF566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D2B81B5-2B4D-4257-9E19-9E6148B3F22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0502C-E99E-499E-BA79-F663A24ACE1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B3AC694-5D15-4341-B33B-145C651D0B6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ED0CA6-A5B9-44A5-B592-F704F8504E3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87597F-97D9-4B87-8204-E66496301D0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165F3F-4584-4C13-A295-C1B5BD33271E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43DE78-3652-4D40-98BA-E32AFAE57EF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5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81FE4D-765F-4A2B-8A41-970CF556EA34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482495-3120-4D21-BACE-890831E9644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BA3890-9E14-4C96-A7E0-AE9401419A86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1379C7-B399-4ED3-A450-2B733A4986F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D5AD60-85B5-49CB-95E1-37D51BAE595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B2D254-B1CC-48C3-A2F2-A9A07DD91022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91F62D-0912-4B08-A17C-B09DB5429B06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CBF17B6-002D-451B-A88D-7FE94DDD3BF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BF4C77-B1A8-47F7-8698-0D6089F1D7D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BC3112-F525-4C4E-8A16-5312DA425A8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6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4AAB2C-C83F-4F3A-97AD-E7A2A718CD5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7FB111A-52C3-47AC-8655-00BE49BB477E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EDC633-A045-405E-A4E8-D0C535F7DD2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3631EC-2B09-4A8F-8433-3CDCA46CC1D6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C2B772B-BA78-4F03-9EBF-2BBC0B54EBF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B4DDB3-17D6-4629-8BEA-F0FCD7E8E2F5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3CEA0-7006-471B-8BE1-79EEC2430C6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452FBE-F7E3-4240-93CB-5225F800DB25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14F3441-84C6-4EBD-A146-A2832667CD8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A2340B-A2BA-415B-984B-1F616B972D7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7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897516-9811-4509-BAD1-AE2E71BF6DC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205B4F-87CA-4245-AF09-130444D0FCC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94C895-9028-49B1-8F43-D02F3B18AFF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627DD98-E27A-4C85-998F-183C8D40A2D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30C46-2443-46E8-A9A9-1B18931F9AA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8DA25E-2723-4D69-BDC7-7191CF4945AE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D59213-B5B0-47FD-AC28-E60287F34B5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4C27F1-61E4-4AB3-A301-A1A630AFDC1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206917-B002-4115-8708-11323CB36824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CED9A4-E041-4088-9D00-8D65FDC6C33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8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4F36F8-CFFF-42EC-ACC5-8FBD23CA6295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0FD48A3-E464-45CD-B2FD-0C3FA5BBFA0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F20296-0802-40B4-B442-75B0F9EEFF84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2E98F-6AC7-474E-9A9D-2FD866EE1D4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E5EE5A-67FA-48E3-BFBC-A7C2DCA675F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1C36A0-72D9-48C7-BA0D-7296EBB070B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947330-6DC1-4C77-AE64-4B55D5C9B944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CAB3D4-12A6-42FD-895F-0461A5360E5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B005C1-CCE3-4C79-9696-B49A883EBBE6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B78316-38A3-4D94-90FF-500FAC9DED8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39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860908-4124-4112-84DE-40A59A0A8F8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18FE05-2940-4911-9846-22E1238879D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32137C-C5B8-43FA-8DA4-0890340D203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8DF925-AC9F-48BC-839E-7692FD71E42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620F4D8-277A-4515-A8BA-348C0B0537E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66A43E-7939-4299-BDBC-3C60DCF819C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9F7543-3906-4CB5-B856-3A53412C4BF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B31435-B195-4B7E-901C-BFCEC05C7DE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5C9C21-B1CB-4369-9995-1D0AA4020D2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C5F78B-9E72-4558-8FB2-C11F1EA13D32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0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B24BE0-DD4C-49FD-B4AE-C1DC40BE600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8E88B95-E934-4271-BAA3-BA9E53D46BE5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F467ECF-4D8A-435A-8FEC-54D8A881B8A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AA3B6E-6B37-4294-A64E-962FE8841408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F7030F-A427-4D65-9D38-70216FFD99F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AB32F3-192D-4EC3-A968-CFF798F01E4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83095-C8EA-4228-AA78-717BD83332F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94F93F-24B8-4AC3-9CA7-A0112CF6EB6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7909B3-7A3B-46E9-8153-7400FAD224F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487642-F26F-487F-87F3-35A765E4906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1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6F074F-474E-488D-9858-E4F056186AF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6E2D52-F0F9-4ADE-B76D-3D256B30929B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606118-22C3-47EE-9A3B-79F5A6FC448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3141C0-C943-4B46-9453-DFB0FE48682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A2A0684-69EF-404D-AEBD-B4C79697F9E2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99371-674C-43C4-B1F4-83C7F87A9477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6F103D-F053-4317-AB1F-E35A61BE2D1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F6E247-4099-4E62-9180-A7524F405C2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BB4286-0E42-44D3-8093-320FDEBD130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3B95ED-0FE7-48CE-A465-6EEE864D451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2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6F673E-7D42-4EF0-828E-BD4C1F2DAF2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0B6723-DEF0-42F2-BFEA-0FC58A0A475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7811290-4F33-4446-886C-1EC920EA69D6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210316-1E6B-491C-B0BD-2A3AD9E8673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887D01-B8C4-43CC-8F0B-C62D55BA55F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1E214D-2009-40D6-BD75-76CAEF46161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6E679E-F976-4C5D-BE97-6358BD49818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CEFBFA0-5E6C-4EC6-B264-C6ECA13DB8A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496992C-C6EE-4ADC-BA3B-A1EEF9F1C68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902D44-9660-4885-ABB3-E142E2B287FF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3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FFBAC2C-0EDD-4FDA-9A6E-950C83D57F4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8DC5B77-9369-4C23-A1CF-582526DA8965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50E4136-1D54-4141-8EBD-47481EFE0CD0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2F96DE-779A-47A2-8A42-2B591890B00D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75A35A-07DC-4C6B-8869-1F56977B8C82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C207735-4CF7-4570-9BF1-DEC7B2CFD871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E211CC-AB6D-4F05-86CD-909BC04CCC8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F6EAC2-C20E-4950-B1DD-277D755674D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608922-C143-4B4E-A9D3-3E0C6BBF36E9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461EED-C20A-4A48-8B04-463C018173C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4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70051-977A-472A-954F-3094345FEC85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859928-6646-4111-87BD-A269413537A3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D9543A-0369-4372-BDDD-B955266E5C5C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34A48C-4D4A-4F30-9441-FF857CF893BA}"/>
            </a:ext>
          </a:extLst>
        </xdr:cNvPr>
        <xdr:cNvSpPr txBox="1">
          <a:spLocks noChangeArrowheads="1"/>
        </xdr:cNvSpPr>
      </xdr:nvSpPr>
      <xdr:spPr bwMode="auto">
        <a:xfrm>
          <a:off x="16689917" y="7228417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3680C1-E63E-441D-A5A2-B552FC7B8E6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93845C-CBDE-44C7-A1FD-9427A2E44D9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1230EB-1A95-47CC-B748-EB06B423258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AAAB8-3305-4999-8E96-651B9A3A7FE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FE6D58-31DB-446B-90E7-55BC65664968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9100FD-1478-4688-91E6-008393050A1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5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DF6D58-8DEC-414A-82F2-A7177D6E12A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02F776-D377-41B7-936C-43F9035642F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AAA0E0-16B0-4C3E-82AA-D9441B71C4E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43274B-3CC2-40C7-B05F-B15BD4811E9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0E3C515-A264-410C-BF05-996518079E1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E0658D-18A3-462B-AD43-A6AD9BE4361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AB8C506-2B1D-4036-A709-81771F3AC52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6B3B36-1305-48A3-99C7-4220093AA25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26AD91-63A1-4E25-80BA-33A615720813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7B1F1-62F7-4C23-85AA-BC954A8642C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6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D3C871-2A35-47E9-B532-4C5D21D0786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1CDCAF-8CCF-4440-8D90-269792B3BE1A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F76F5A-B206-4ED9-9929-A920886F0DE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C3271-1336-4C08-B595-521349E0C12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B316D-037B-4E8A-902D-BB28E4EDF1E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EBE71C-8B1A-4224-B645-45D27E16C6A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A944D8-311C-4F7E-9B40-D3F7F93DD11A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2F1476-CA2F-4F67-971F-3B55FD06618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BF77CA0-B358-461C-B6B3-F72A4EDB6BE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B3BC15-4AAD-4829-99E3-4CA84F1AED6C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7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3C7DD-F404-4365-AC0D-3194C78E489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2629601-0085-4906-B585-6ECF962BDBF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06B1F8C-874C-4A56-8735-D1EF190CFCC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AD23E0-CEA8-4784-840E-829EC98F18E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9D7E61-A59C-411E-A2D9-CEDA75E6770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71FD95C-A183-4483-AD5F-BA5835C69F2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0E9130-B1C0-40B1-8AD2-9173A866D44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93122A9-B918-4B0B-A78B-1DA39A217F2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D8CDD2-4DD2-4E97-9F66-EEB8E3327CEC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F48CC64-0C28-4D27-A4B0-0AAD00D2F51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8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58E09-AC0F-457C-95CA-991A81D25223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3E1701-3A2A-45D1-9DE3-42195AE6E74D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8EC0-3AE1-40DC-BB27-6257520AF910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F845D-2511-4025-83F5-7791DB425398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D6042-6C98-4A01-ADFB-E6D1315E03A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7C8850-1DEE-4D86-92A8-8EFA3C6CD164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8BE36D-257D-416F-9FCF-F4B20B13D00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C7F16-A974-464A-ACD5-A2C36553E3A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1352C4A-C6D0-4709-B9B9-225D7AE0F090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FE26DBF-25BD-4BA1-BAEE-911B47881BC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49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BD3AC1-0485-4550-9474-3A42C03FDB5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D6A7BE-F2D5-4C11-97D2-C6A105F7D789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9BAB74-90F1-4EF6-92AF-5A2641FFF75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51D1A8-9B27-41FA-9EA7-F4C4AD5930C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65395D8-36FB-45F6-9FB3-01256422B5D0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9764945-0A0C-447C-97F8-C468C1C375A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135120-DDB4-484F-9B10-0FE5BEEBD7A7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FDF834-8D5C-4B0D-A193-8F2854BABA5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900CD60-1D25-4307-BF51-BD8B6B681892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699EE3-BB34-49B2-92B7-90A81DDE3781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0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DD83257-D455-49DE-8E33-E0825CDC7525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AB404C-9C3B-4F03-A3BB-B67B5E903946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5DDD73-BEA6-48B3-A238-E1393AC3473A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E04B30D-F725-4E95-B4C2-02478557A6AA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64171B-4249-42B8-B7A9-5A82D6011ECF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282BF7B-D6EE-4115-BE6A-12F80139C8AE}"/>
            </a:ext>
          </a:extLst>
        </xdr:cNvPr>
        <xdr:cNvSpPr txBox="1">
          <a:spLocks noChangeArrowheads="1"/>
        </xdr:cNvSpPr>
      </xdr:nvSpPr>
      <xdr:spPr bwMode="auto">
        <a:xfrm>
          <a:off x="16706850" y="7613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C4B6D-ACA7-4BF0-8FDB-148AA6DD4B4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BD93A1-6003-4362-9163-CA685FB88FB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C06473-3869-43F3-B034-C4F79B461A63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4D6E43-EB2F-4BD9-ABB3-2BB2416ABAC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1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703300F-DBBC-47A1-BC99-D3CC4D06F65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0B80742-A79F-4A23-A99D-CBDE557166F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6E6904-BD3C-42E7-A5F6-2770EE8192E2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43B9BC-0721-4E7E-B289-2224FDF0ED2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761292-AFB1-45A3-8BCA-D8AA20159B5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F900DC-7CD7-4A41-A995-13168D04297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33FE030-4D63-4680-BED3-D4F81E6DD8B3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3B5BE6-8D25-4F9A-A462-B9265D21A2F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B916-4660-43F8-922E-67A360474E4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D2B30B-4029-478E-9AD3-0EA73AD2037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2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752BA39-1541-4414-93E3-B19D53FD04E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B0E092E-B102-4D80-97F7-8D2455B9D28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E7C4CF-0F64-4F84-9EE2-DF414326AB2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65D999-FD66-4558-B30D-C39844A029E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84170F9-B007-4EE6-9AD1-9DFB8284ADCB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DC5267-2A5B-4473-AF0A-9755E5D98DF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E351862-52C9-4EDA-BC28-A719FCE8FAF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7FBEBD-AA1C-4B0A-AADB-7C6312D80F5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79D1B5-E222-4F30-8BA9-31DE3148C6E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3FF95B-11AC-4DFC-A6DA-C4A043C64F3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3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9E8143D-ABBB-4097-B5FF-BE19F879E64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FE8357-6A0B-47AD-ABF8-91D1400B2A64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DFAEBA-196E-4E6C-AA8D-672D20ADCB0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710AAA-2B33-4031-B69B-FEE63DAB4FC3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A33CC2-4C3F-48CD-A09C-69B1CA20D92F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B4E80-1AA3-41AF-9A75-13B64E1ED5C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0A68CB-6905-4F38-95C6-B1CF38BBB36D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325F13-1788-42AB-AB07-395BA964833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1DB86E-0381-42A5-9AF5-9C2CFF48E09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933FE-FD8B-442F-9FBA-CF931832296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4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1B4C3B-9E08-4B6A-B1BA-5C7CD3031E5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32CB9A-8B6F-4473-9388-DB17D2FF9784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A82A8-2196-4219-9A36-67593D8E9BC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9893D82-AE0B-465D-8508-2F6B3F70303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D8D99F-D443-4F28-9DC4-FF8AEF1B43E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DA3CD10-0CAF-475C-926E-6DDA907FE53B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0194D0-5AE6-4AD1-A889-529B64BA6872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E6255F-E80A-405A-8230-9642F9CB1BF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F287BD-C89D-4A9C-AD00-24E934505ABA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176B160-E7C5-4DE8-9824-D13EE3F513B5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5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2C9F2F0-9C04-46B1-99E7-9A2899BC106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7B428A-4E1C-4954-9C23-B6FBBE11E500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C261CD-D1A0-44F8-A9CD-1678CC4D15F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B826C28-8746-4E15-AAF0-82A6F3CF814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1CA12F1-9A73-4D67-8D48-5FA2662BB857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944605-2C3E-4D46-8DDC-8BAD8429C0B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6BFF85-9347-404D-B4B3-813A51B6CC9A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7903F6-A628-494F-880A-A62669190611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7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F9B956-4B9E-46E3-9991-28A778FFB40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8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55EBDD-6670-43F5-9831-C9223853F40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69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03F6F18-B352-4D7C-AEB6-2BBE4F451BA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0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0C2222-73B9-4190-A1AD-DCD8B26D9096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1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A0AAF6-AD95-4402-9B37-67790A01CD1E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2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8F5A540-9AFD-4A9D-A6C9-F955ECD982A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3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8DADBE1-7167-46BE-898C-C17E0CBBB809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4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7C11EC6-979A-4B62-ACF4-3E23247ACF1A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5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D9B99F-2FD9-43F4-B804-DE3445312FCC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15</xdr:col>
      <xdr:colOff>0</xdr:colOff>
      <xdr:row>10</xdr:row>
      <xdr:rowOff>0</xdr:rowOff>
    </xdr:from>
    <xdr:ext cx="18531" cy="313419"/>
    <xdr:sp macro="" textlink="">
      <xdr:nvSpPr>
        <xdr:cNvPr id="576" name="Text Box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D124F7-7BE6-4770-83AE-21FCCB858468}"/>
            </a:ext>
          </a:extLst>
        </xdr:cNvPr>
        <xdr:cNvSpPr txBox="1">
          <a:spLocks noChangeArrowheads="1"/>
        </xdr:cNvSpPr>
      </xdr:nvSpPr>
      <xdr:spPr bwMode="auto">
        <a:xfrm>
          <a:off x="16706850" y="5327650"/>
          <a:ext cx="18531" cy="31341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pt-BR" sz="1000" b="0" i="0" strike="noStrike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Gente\PEX\Compartilhado\2014\Cat%2003%20-%20Gente\Book%20categoria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3.1.A.1_2_3"/>
      <sheetName val="3.1.A.3_Train"/>
      <sheetName val="3.1.A.3"/>
      <sheetName val="3.1.B.2"/>
      <sheetName val="3.1.B.3"/>
      <sheetName val="3.2.A.1"/>
      <sheetName val="3.2.A.2"/>
      <sheetName val="3.1.B.1"/>
      <sheetName val="3.2.A.3"/>
      <sheetName val="3.2.A.2_Formulário"/>
      <sheetName val="3.2.A.2_Follow"/>
      <sheetName val="3.2.A.2_Resumo"/>
      <sheetName val="sql1"/>
      <sheetName val="3.2.A.4"/>
      <sheetName val="3.2.B.1"/>
      <sheetName val="3.3.A.2_3"/>
      <sheetName val="3.3.A.1"/>
      <sheetName val="3.4.A.1"/>
      <sheetName val="3.3.B.1"/>
      <sheetName val="desligados"/>
      <sheetName val="base_M@_WB"/>
      <sheetName val="Plan2"/>
      <sheetName val="Plan1"/>
      <sheetName val=" IT-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y, Pablo" id="{94B02132-8C05-4E17-A5A6-CE65F6811394}" userId="S::pablorey@ab-inbev.com::6c5e49c7-0f78-4721-9560-98cdcd49a0c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6" dT="2026-01-28T11:43:44.79" personId="{94B02132-8C05-4E17-A5A6-CE65F6811394}" id="{EB3A5E8A-BDC5-450D-A558-517AA700CA45}">
    <text>- Analistas de WH y Stock
- Supevisores de WH
- Verificadores</text>
  </threadedComment>
  <threadedComment ref="H12" dT="2026-01-28T11:43:44.79" personId="{94B02132-8C05-4E17-A5A6-CE65F6811394}" id="{111C9710-5A37-4AEC-ABFB-BF986DCA6D8B}">
    <text>- Analistas de WH y Stock
- Supevisores de WH
- Verificadores</text>
  </threadedComment>
  <threadedComment ref="H13" dT="2026-01-28T11:43:44.79" personId="{94B02132-8C05-4E17-A5A6-CE65F6811394}" id="{28206247-63BE-4120-8694-8183F5882FBF}">
    <text>- Analistas de WH y Stock
- Supevisores de WH
- Verificadores</text>
  </threadedComment>
  <threadedComment ref="H14" dT="2026-01-28T11:43:44.79" personId="{94B02132-8C05-4E17-A5A6-CE65F6811394}" id="{412BD0A9-1847-458A-B6B0-1FDCFA5B7239}">
    <text>ADM CMQ &amp; ADM OL
- Analistas de WH y Stock
- Supevisores de WH
- Verificadores</text>
  </threadedComment>
  <threadedComment ref="H15" dT="2026-01-28T11:43:44.79" personId="{94B02132-8C05-4E17-A5A6-CE65F6811394}" id="{88C63B2F-3145-4D91-8941-80CC637F045A}">
    <text>- Analistas de WH y Stock
- Supevisores de WH
- Verificadores</text>
  </threadedComment>
  <threadedComment ref="H16" dT="2026-01-28T11:43:44.79" personId="{94B02132-8C05-4E17-A5A6-CE65F6811394}" id="{9478763E-BFBF-408B-889E-3EDF77EBE0F3}">
    <text>- Analistas de WH y Stock
- Supevisores de WH
- Verificadores</text>
  </threadedComment>
  <threadedComment ref="H18" dT="2026-01-28T11:43:44.79" personId="{94B02132-8C05-4E17-A5A6-CE65F6811394}" id="{051A1C87-90D7-41E3-9A1D-D9E1DDCB96B2}">
    <text>- Analistas de WH y Stock
- Supevisores de WH
- Verificadores</text>
  </threadedComment>
  <threadedComment ref="C81" dT="2026-01-21T19:44:01.81" personId="{94B02132-8C05-4E17-A5A6-CE65F6811394}" id="{5B00039D-1917-4B9B-A779-194DE71DE4BD}">
    <text>Solo para habilitar un empleado</text>
  </threadedComment>
  <threadedComment ref="C92" dT="2026-01-21T19:56:45.98" personId="{94B02132-8C05-4E17-A5A6-CE65F6811394}" id="{91A55298-3AB0-4D23-B07F-589B3B2B0924}">
    <text xml:space="preserve">Para formar nuevos entrenadores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CAA74-DCE9-4F53-B5E7-EC1F72983376}">
  <dimension ref="A1:O120"/>
  <sheetViews>
    <sheetView showGridLines="0" tabSelected="1" zoomScale="66" zoomScaleNormal="68" workbookViewId="0">
      <pane xSplit="4" ySplit="5" topLeftCell="O6" activePane="bottomRight" state="frozen"/>
      <selection pane="topRight" activeCell="E1" sqref="E1"/>
      <selection pane="bottomLeft" activeCell="A6" sqref="A6"/>
      <selection pane="bottomRight" activeCell="B16" sqref="B16"/>
    </sheetView>
  </sheetViews>
  <sheetFormatPr baseColWidth="10" defaultColWidth="39" defaultRowHeight="15" customHeight="1" outlineLevelCol="1" x14ac:dyDescent="0.25"/>
  <cols>
    <col min="1" max="1" width="12.5703125" style="3" customWidth="1"/>
    <col min="2" max="2" width="12.28515625" style="3" customWidth="1"/>
    <col min="3" max="3" width="65.7109375" style="3" customWidth="1"/>
    <col min="4" max="4" width="31.7109375" style="3" customWidth="1"/>
    <col min="5" max="10" width="15.7109375" style="3" hidden="1" customWidth="1" outlineLevel="1"/>
    <col min="11" max="11" width="20" style="8" customWidth="1" collapsed="1"/>
    <col min="12" max="12" width="21" style="8" customWidth="1"/>
    <col min="13" max="13" width="33.7109375" style="8" customWidth="1"/>
    <col min="14" max="14" width="60.28515625" style="3" customWidth="1"/>
    <col min="15" max="15" width="23.5703125" style="3" customWidth="1"/>
    <col min="16" max="16384" width="39" style="3"/>
  </cols>
  <sheetData>
    <row r="1" spans="1:15" s="1" customFormat="1" ht="78" customHeight="1" x14ac:dyDescent="0.3">
      <c r="A1" s="121" t="s">
        <v>0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3"/>
    </row>
    <row r="2" spans="1:15" s="1" customFormat="1" ht="15" customHeight="1" x14ac:dyDescent="0.3">
      <c r="A2" s="124"/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124"/>
      <c r="M2" s="124"/>
    </row>
    <row r="3" spans="1:15" s="1" customFormat="1" ht="23.1" customHeight="1" x14ac:dyDescent="0.3">
      <c r="A3" s="125" t="s">
        <v>1</v>
      </c>
      <c r="B3" s="125"/>
      <c r="C3" s="125"/>
      <c r="D3" s="125"/>
      <c r="E3" s="128" t="s">
        <v>2</v>
      </c>
      <c r="F3" s="95"/>
      <c r="G3" s="95"/>
      <c r="H3" s="95"/>
      <c r="I3" s="95"/>
      <c r="J3" s="95"/>
      <c r="K3" s="95"/>
      <c r="L3" s="95"/>
      <c r="M3" s="55" t="s">
        <v>3</v>
      </c>
    </row>
    <row r="4" spans="1:15" s="2" customFormat="1" ht="29.1" customHeight="1" x14ac:dyDescent="0.2">
      <c r="A4" s="126" t="s">
        <v>4</v>
      </c>
      <c r="B4" s="126"/>
      <c r="C4" s="126"/>
      <c r="D4" s="126"/>
      <c r="E4" s="129" t="s">
        <v>5</v>
      </c>
      <c r="F4" s="129"/>
      <c r="G4" s="129"/>
      <c r="H4" s="129"/>
      <c r="I4" s="129"/>
      <c r="J4" s="129"/>
      <c r="K4" s="129" t="s">
        <v>6</v>
      </c>
      <c r="L4" s="129"/>
      <c r="M4" s="60"/>
    </row>
    <row r="5" spans="1:15" s="8" customFormat="1" ht="37.5" customHeight="1" x14ac:dyDescent="0.25">
      <c r="A5" s="56" t="s">
        <v>7</v>
      </c>
      <c r="B5" s="57" t="s">
        <v>8</v>
      </c>
      <c r="C5" s="58" t="s">
        <v>9</v>
      </c>
      <c r="D5" s="54" t="s">
        <v>10</v>
      </c>
      <c r="E5" s="54" t="s">
        <v>11</v>
      </c>
      <c r="F5" s="54" t="s">
        <v>12</v>
      </c>
      <c r="G5" s="54" t="s">
        <v>13</v>
      </c>
      <c r="H5" s="54" t="s">
        <v>14</v>
      </c>
      <c r="I5" s="54" t="s">
        <v>15</v>
      </c>
      <c r="J5" s="54" t="s">
        <v>16</v>
      </c>
      <c r="K5" s="54" t="s">
        <v>17</v>
      </c>
      <c r="L5" s="54" t="s">
        <v>18</v>
      </c>
      <c r="M5" s="59" t="s">
        <v>19</v>
      </c>
      <c r="N5" s="43" t="s">
        <v>20</v>
      </c>
      <c r="O5" s="41" t="s">
        <v>356</v>
      </c>
    </row>
    <row r="6" spans="1:15" s="8" customFormat="1" ht="17.649999999999999" customHeight="1" x14ac:dyDescent="0.25">
      <c r="A6" s="103" t="s">
        <v>21</v>
      </c>
      <c r="B6" s="4"/>
      <c r="C6" s="4" t="s">
        <v>22</v>
      </c>
      <c r="D6" s="4"/>
      <c r="E6" s="4">
        <v>1</v>
      </c>
      <c r="F6" s="4">
        <v>0</v>
      </c>
      <c r="G6" s="4"/>
      <c r="H6" s="4" t="s">
        <v>23</v>
      </c>
      <c r="I6" s="4">
        <v>1</v>
      </c>
      <c r="J6" s="4">
        <v>0</v>
      </c>
      <c r="K6" s="5"/>
      <c r="L6" s="53"/>
      <c r="M6" s="20" t="s">
        <v>24</v>
      </c>
      <c r="N6" s="6"/>
      <c r="O6" s="6"/>
    </row>
    <row r="7" spans="1:15" ht="15" customHeight="1" x14ac:dyDescent="0.25">
      <c r="A7" s="103"/>
      <c r="B7" s="4"/>
      <c r="C7" s="98" t="s">
        <v>25</v>
      </c>
      <c r="D7" s="21" t="s">
        <v>26</v>
      </c>
      <c r="E7" s="98">
        <v>1</v>
      </c>
      <c r="F7" s="98">
        <v>0</v>
      </c>
      <c r="G7" s="38"/>
      <c r="H7" s="98">
        <v>1</v>
      </c>
      <c r="I7" s="98">
        <v>1</v>
      </c>
      <c r="J7" s="98">
        <v>0</v>
      </c>
      <c r="K7" s="127"/>
      <c r="L7" s="52"/>
      <c r="M7" s="52"/>
      <c r="N7" s="42"/>
      <c r="O7" s="42"/>
    </row>
    <row r="8" spans="1:15" ht="14.65" customHeight="1" x14ac:dyDescent="0.25">
      <c r="A8" s="103"/>
      <c r="B8" s="4"/>
      <c r="C8" s="99"/>
      <c r="D8" s="21" t="s">
        <v>27</v>
      </c>
      <c r="E8" s="99"/>
      <c r="F8" s="99"/>
      <c r="G8" s="39"/>
      <c r="H8" s="99"/>
      <c r="I8" s="99"/>
      <c r="J8" s="99"/>
      <c r="K8" s="127"/>
      <c r="L8" s="52"/>
      <c r="M8" s="52"/>
      <c r="N8" s="42"/>
      <c r="O8" s="42"/>
    </row>
    <row r="9" spans="1:15" ht="15.6" customHeight="1" x14ac:dyDescent="0.25">
      <c r="A9" s="103"/>
      <c r="B9" s="4"/>
      <c r="C9" s="99"/>
      <c r="D9" s="21" t="s">
        <v>28</v>
      </c>
      <c r="E9" s="99"/>
      <c r="F9" s="99"/>
      <c r="G9" s="39"/>
      <c r="H9" s="99"/>
      <c r="I9" s="99"/>
      <c r="J9" s="99"/>
      <c r="K9" s="127"/>
      <c r="L9" s="52"/>
      <c r="M9" s="52"/>
      <c r="N9" s="42"/>
      <c r="O9" s="42"/>
    </row>
    <row r="10" spans="1:15" ht="15.6" customHeight="1" x14ac:dyDescent="0.25">
      <c r="A10" s="103"/>
      <c r="B10" s="4"/>
      <c r="C10" s="100"/>
      <c r="D10" s="21" t="s">
        <v>29</v>
      </c>
      <c r="E10" s="100"/>
      <c r="F10" s="100"/>
      <c r="G10" s="40"/>
      <c r="H10" s="100"/>
      <c r="I10" s="100"/>
      <c r="J10" s="100"/>
      <c r="K10" s="127"/>
      <c r="L10" s="52"/>
      <c r="M10" s="52"/>
      <c r="N10" s="42"/>
      <c r="O10" s="42"/>
    </row>
    <row r="11" spans="1:15" ht="15" customHeight="1" x14ac:dyDescent="0.25">
      <c r="A11" s="103"/>
      <c r="B11" s="4"/>
      <c r="C11" s="4" t="s">
        <v>30</v>
      </c>
      <c r="D11" s="4"/>
      <c r="E11" s="4">
        <v>1</v>
      </c>
      <c r="F11" s="4">
        <v>1</v>
      </c>
      <c r="G11" s="4"/>
      <c r="H11" s="4">
        <v>1</v>
      </c>
      <c r="I11" s="4">
        <v>1</v>
      </c>
      <c r="J11" s="4">
        <v>0</v>
      </c>
      <c r="K11" s="5"/>
      <c r="L11" s="53"/>
      <c r="M11" s="20" t="s">
        <v>31</v>
      </c>
      <c r="N11" s="42"/>
      <c r="O11" s="42"/>
    </row>
    <row r="12" spans="1:15" ht="15" customHeight="1" x14ac:dyDescent="0.25">
      <c r="A12" s="103"/>
      <c r="B12" s="4"/>
      <c r="C12" s="4" t="s">
        <v>32</v>
      </c>
      <c r="D12" s="4"/>
      <c r="E12" s="4">
        <v>1</v>
      </c>
      <c r="F12" s="4">
        <v>0</v>
      </c>
      <c r="G12" s="4"/>
      <c r="H12" s="4" t="s">
        <v>23</v>
      </c>
      <c r="I12" s="4">
        <v>0</v>
      </c>
      <c r="J12" s="4">
        <v>0</v>
      </c>
      <c r="K12" s="5"/>
      <c r="L12" s="5"/>
      <c r="M12" s="20" t="s">
        <v>31</v>
      </c>
      <c r="N12" s="42"/>
      <c r="O12" s="42"/>
    </row>
    <row r="13" spans="1:15" ht="15" customHeight="1" x14ac:dyDescent="0.25">
      <c r="A13" s="103"/>
      <c r="B13" s="4"/>
      <c r="C13" s="4" t="s">
        <v>33</v>
      </c>
      <c r="D13" s="4"/>
      <c r="E13" s="4">
        <v>1</v>
      </c>
      <c r="F13" s="4">
        <v>0</v>
      </c>
      <c r="G13" s="4"/>
      <c r="H13" s="4" t="s">
        <v>23</v>
      </c>
      <c r="I13" s="4">
        <v>0</v>
      </c>
      <c r="J13" s="4">
        <v>0</v>
      </c>
      <c r="K13" s="5"/>
      <c r="L13" s="5"/>
      <c r="M13" s="20" t="s">
        <v>34</v>
      </c>
      <c r="N13" s="42"/>
      <c r="O13" s="42"/>
    </row>
    <row r="14" spans="1:15" ht="15" customHeight="1" x14ac:dyDescent="0.25">
      <c r="A14" s="103"/>
      <c r="B14" s="4"/>
      <c r="C14" s="4" t="s">
        <v>35</v>
      </c>
      <c r="D14" s="4"/>
      <c r="E14" s="4">
        <v>1</v>
      </c>
      <c r="F14" s="4">
        <v>0</v>
      </c>
      <c r="G14" s="4"/>
      <c r="H14" s="4" t="s">
        <v>23</v>
      </c>
      <c r="I14" s="4">
        <v>0</v>
      </c>
      <c r="J14" s="4">
        <v>0</v>
      </c>
      <c r="K14" s="5"/>
      <c r="L14" s="5"/>
      <c r="M14" s="20" t="s">
        <v>34</v>
      </c>
      <c r="N14" s="42"/>
      <c r="O14" s="42"/>
    </row>
    <row r="15" spans="1:15" ht="15" customHeight="1" x14ac:dyDescent="0.25">
      <c r="A15" s="103"/>
      <c r="B15" s="4"/>
      <c r="C15" s="7" t="s">
        <v>36</v>
      </c>
      <c r="D15" s="4"/>
      <c r="E15" s="4">
        <v>1</v>
      </c>
      <c r="F15" s="4">
        <v>0</v>
      </c>
      <c r="G15" s="4"/>
      <c r="H15" s="4" t="s">
        <v>23</v>
      </c>
      <c r="I15" s="4">
        <v>1</v>
      </c>
      <c r="J15" s="4">
        <v>0</v>
      </c>
      <c r="K15" s="5"/>
      <c r="L15" s="5"/>
      <c r="M15" s="20" t="s">
        <v>34</v>
      </c>
      <c r="N15" s="42"/>
      <c r="O15" s="42"/>
    </row>
    <row r="16" spans="1:15" ht="15" customHeight="1" x14ac:dyDescent="0.25">
      <c r="A16" s="103"/>
      <c r="B16" s="4"/>
      <c r="C16" s="4" t="s">
        <v>37</v>
      </c>
      <c r="D16" s="4"/>
      <c r="E16" s="4">
        <v>1</v>
      </c>
      <c r="F16" s="4">
        <v>0</v>
      </c>
      <c r="G16" s="4"/>
      <c r="H16" s="4" t="s">
        <v>23</v>
      </c>
      <c r="I16" s="4">
        <v>1</v>
      </c>
      <c r="J16" s="4">
        <v>0</v>
      </c>
      <c r="K16" s="5"/>
      <c r="L16" s="5"/>
      <c r="M16" s="20" t="s">
        <v>38</v>
      </c>
      <c r="N16" s="42"/>
      <c r="O16" s="42"/>
    </row>
    <row r="17" spans="1:15" ht="15" customHeight="1" x14ac:dyDescent="0.25">
      <c r="A17" s="103"/>
      <c r="B17" s="4"/>
      <c r="C17" s="4" t="s">
        <v>39</v>
      </c>
      <c r="D17" s="4"/>
      <c r="E17" s="4"/>
      <c r="F17" s="4"/>
      <c r="G17" s="4"/>
      <c r="H17" s="4"/>
      <c r="I17" s="4"/>
      <c r="J17" s="4"/>
      <c r="K17" s="5"/>
      <c r="L17" s="53"/>
      <c r="M17" s="20" t="s">
        <v>38</v>
      </c>
      <c r="N17" s="42"/>
      <c r="O17" s="42"/>
    </row>
    <row r="18" spans="1:15" ht="15" customHeight="1" x14ac:dyDescent="0.25">
      <c r="A18" s="103"/>
      <c r="B18" s="4"/>
      <c r="C18" s="4" t="s">
        <v>40</v>
      </c>
      <c r="D18" s="4"/>
      <c r="E18" s="4">
        <v>1</v>
      </c>
      <c r="F18" s="4">
        <v>0</v>
      </c>
      <c r="G18" s="4"/>
      <c r="H18" s="4" t="s">
        <v>23</v>
      </c>
      <c r="I18" s="4">
        <v>0</v>
      </c>
      <c r="J18" s="4">
        <v>0</v>
      </c>
      <c r="K18" s="5"/>
      <c r="L18" s="53"/>
      <c r="M18" s="20" t="s">
        <v>38</v>
      </c>
      <c r="N18" s="42"/>
      <c r="O18" s="42"/>
    </row>
    <row r="19" spans="1:15" ht="15" customHeight="1" collapsed="1" x14ac:dyDescent="0.25">
      <c r="A19" s="103" t="s">
        <v>41</v>
      </c>
      <c r="B19" s="4"/>
      <c r="C19" s="72" t="s">
        <v>42</v>
      </c>
      <c r="D19" s="62" t="s">
        <v>43</v>
      </c>
      <c r="E19" s="4">
        <v>1</v>
      </c>
      <c r="F19" s="4">
        <v>1</v>
      </c>
      <c r="G19" s="4">
        <v>1</v>
      </c>
      <c r="H19" s="7">
        <v>1</v>
      </c>
      <c r="I19" s="7">
        <v>1</v>
      </c>
      <c r="J19" s="7">
        <v>1</v>
      </c>
      <c r="K19" s="62" t="s">
        <v>44</v>
      </c>
      <c r="L19" s="61" t="s">
        <v>45</v>
      </c>
      <c r="M19" s="20" t="s">
        <v>24</v>
      </c>
      <c r="N19" s="42"/>
      <c r="O19" s="42"/>
    </row>
    <row r="20" spans="1:15" ht="15" customHeight="1" x14ac:dyDescent="0.25">
      <c r="A20" s="103"/>
      <c r="B20" s="4"/>
      <c r="C20" s="73" t="s">
        <v>46</v>
      </c>
      <c r="D20" s="63" t="s">
        <v>47</v>
      </c>
      <c r="E20" s="7">
        <v>1</v>
      </c>
      <c r="F20" s="7">
        <v>1</v>
      </c>
      <c r="G20" s="7">
        <v>1</v>
      </c>
      <c r="H20" s="4">
        <v>1</v>
      </c>
      <c r="I20" s="7">
        <v>1</v>
      </c>
      <c r="J20" s="7">
        <v>1</v>
      </c>
      <c r="K20" s="63" t="s">
        <v>44</v>
      </c>
      <c r="L20" s="64" t="s">
        <v>45</v>
      </c>
      <c r="M20" s="20" t="s">
        <v>31</v>
      </c>
      <c r="N20" s="42"/>
      <c r="O20" s="42"/>
    </row>
    <row r="21" spans="1:15" ht="15" customHeight="1" x14ac:dyDescent="0.25">
      <c r="A21" s="103"/>
      <c r="B21" s="4"/>
      <c r="C21" s="73" t="s">
        <v>48</v>
      </c>
      <c r="D21" s="63" t="s">
        <v>49</v>
      </c>
      <c r="E21" s="7">
        <v>1</v>
      </c>
      <c r="F21" s="7">
        <v>1</v>
      </c>
      <c r="G21" s="7">
        <v>1</v>
      </c>
      <c r="H21" s="4">
        <v>1</v>
      </c>
      <c r="I21" s="7">
        <v>1</v>
      </c>
      <c r="J21" s="7">
        <v>1</v>
      </c>
      <c r="K21" s="63" t="s">
        <v>44</v>
      </c>
      <c r="L21" s="64" t="s">
        <v>45</v>
      </c>
      <c r="M21" s="20" t="s">
        <v>50</v>
      </c>
      <c r="N21" s="42"/>
      <c r="O21" s="42"/>
    </row>
    <row r="22" spans="1:15" ht="15" customHeight="1" x14ac:dyDescent="0.25">
      <c r="A22" s="103"/>
      <c r="B22" s="4"/>
      <c r="C22" s="73" t="s">
        <v>51</v>
      </c>
      <c r="D22" s="63" t="s">
        <v>52</v>
      </c>
      <c r="E22" s="7">
        <v>1</v>
      </c>
      <c r="F22" s="7">
        <v>1</v>
      </c>
      <c r="G22" s="7">
        <v>1</v>
      </c>
      <c r="H22" s="4">
        <v>1</v>
      </c>
      <c r="I22" s="7">
        <v>1</v>
      </c>
      <c r="J22" s="7">
        <v>1</v>
      </c>
      <c r="K22" s="63" t="s">
        <v>44</v>
      </c>
      <c r="L22" s="64" t="s">
        <v>45</v>
      </c>
      <c r="M22" s="5" t="s">
        <v>50</v>
      </c>
      <c r="N22" s="42"/>
      <c r="O22" s="42"/>
    </row>
    <row r="23" spans="1:15" ht="15" customHeight="1" x14ac:dyDescent="0.25">
      <c r="A23" s="103"/>
      <c r="B23" s="4"/>
      <c r="C23" s="73" t="s">
        <v>53</v>
      </c>
      <c r="D23" s="64" t="s">
        <v>54</v>
      </c>
      <c r="E23" s="7">
        <v>1</v>
      </c>
      <c r="F23" s="7">
        <v>1</v>
      </c>
      <c r="G23" s="7">
        <v>1</v>
      </c>
      <c r="H23" s="4">
        <v>1</v>
      </c>
      <c r="I23" s="7">
        <v>1</v>
      </c>
      <c r="J23" s="7">
        <v>1</v>
      </c>
      <c r="K23" s="63" t="s">
        <v>55</v>
      </c>
      <c r="L23" s="65" t="s">
        <v>56</v>
      </c>
      <c r="M23" s="5" t="s">
        <v>24</v>
      </c>
      <c r="N23" s="42"/>
      <c r="O23" s="42"/>
    </row>
    <row r="24" spans="1:15" ht="15" customHeight="1" x14ac:dyDescent="0.25">
      <c r="A24" s="103"/>
      <c r="B24" s="4"/>
      <c r="C24" s="73" t="s">
        <v>57</v>
      </c>
      <c r="D24" s="64" t="s">
        <v>58</v>
      </c>
      <c r="E24" s="7"/>
      <c r="F24" s="7"/>
      <c r="G24" s="7"/>
      <c r="H24" s="4">
        <v>1</v>
      </c>
      <c r="I24" s="7">
        <v>1</v>
      </c>
      <c r="J24" s="7"/>
      <c r="K24" s="63" t="s">
        <v>55</v>
      </c>
      <c r="L24" s="65" t="s">
        <v>56</v>
      </c>
      <c r="M24" s="5" t="s">
        <v>34</v>
      </c>
      <c r="N24" s="42"/>
      <c r="O24" s="42"/>
    </row>
    <row r="25" spans="1:15" ht="15.75" x14ac:dyDescent="0.25">
      <c r="A25" s="103"/>
      <c r="B25" s="4"/>
      <c r="C25" s="73" t="s">
        <v>59</v>
      </c>
      <c r="D25" s="63" t="s">
        <v>60</v>
      </c>
      <c r="E25" s="7"/>
      <c r="F25" s="7"/>
      <c r="G25" s="7"/>
      <c r="H25" s="4">
        <v>1</v>
      </c>
      <c r="I25" s="7">
        <v>1</v>
      </c>
      <c r="J25" s="7"/>
      <c r="K25" s="63" t="s">
        <v>55</v>
      </c>
      <c r="L25" s="65" t="s">
        <v>56</v>
      </c>
      <c r="M25" s="5" t="s">
        <v>24</v>
      </c>
      <c r="N25" s="42"/>
      <c r="O25" s="42"/>
    </row>
    <row r="26" spans="1:15" ht="15" customHeight="1" x14ac:dyDescent="0.25">
      <c r="A26" s="103"/>
      <c r="B26" s="4"/>
      <c r="C26" s="73" t="s">
        <v>61</v>
      </c>
      <c r="D26" s="64" t="s">
        <v>62</v>
      </c>
      <c r="E26" s="7"/>
      <c r="F26" s="7"/>
      <c r="G26" s="7"/>
      <c r="H26" s="4">
        <v>1</v>
      </c>
      <c r="I26" s="7">
        <v>1</v>
      </c>
      <c r="J26" s="7"/>
      <c r="K26" s="63" t="s">
        <v>55</v>
      </c>
      <c r="L26" s="64" t="s">
        <v>56</v>
      </c>
      <c r="M26" s="5" t="s">
        <v>50</v>
      </c>
      <c r="N26" s="42"/>
      <c r="O26" s="42"/>
    </row>
    <row r="27" spans="1:15" ht="15" customHeight="1" x14ac:dyDescent="0.25">
      <c r="A27" s="103"/>
      <c r="B27" s="4"/>
      <c r="C27" s="73" t="s">
        <v>63</v>
      </c>
      <c r="D27" s="63" t="s">
        <v>64</v>
      </c>
      <c r="E27" s="7">
        <v>1</v>
      </c>
      <c r="F27" s="7">
        <v>1</v>
      </c>
      <c r="G27" s="7">
        <v>1</v>
      </c>
      <c r="H27" s="7">
        <v>1</v>
      </c>
      <c r="I27" s="7">
        <v>1</v>
      </c>
      <c r="J27" s="7">
        <v>1</v>
      </c>
      <c r="K27" s="63" t="s">
        <v>44</v>
      </c>
      <c r="L27" s="64" t="s">
        <v>45</v>
      </c>
      <c r="M27" s="20" t="s">
        <v>34</v>
      </c>
      <c r="N27" s="42"/>
      <c r="O27" s="42"/>
    </row>
    <row r="28" spans="1:15" ht="15" customHeight="1" x14ac:dyDescent="0.25">
      <c r="A28" s="103"/>
      <c r="B28" s="4"/>
      <c r="C28" s="73" t="s">
        <v>65</v>
      </c>
      <c r="D28" s="64" t="s">
        <v>66</v>
      </c>
      <c r="E28" s="7">
        <v>1</v>
      </c>
      <c r="F28" s="7">
        <v>1</v>
      </c>
      <c r="G28" s="7">
        <v>1</v>
      </c>
      <c r="H28" s="7">
        <v>1</v>
      </c>
      <c r="I28" s="7">
        <v>1</v>
      </c>
      <c r="J28" s="7">
        <v>1</v>
      </c>
      <c r="K28" s="63" t="s">
        <v>44</v>
      </c>
      <c r="L28" s="64" t="s">
        <v>45</v>
      </c>
      <c r="M28" s="20" t="s">
        <v>67</v>
      </c>
      <c r="N28" s="42" t="s">
        <v>68</v>
      </c>
      <c r="O28" s="42"/>
    </row>
    <row r="29" spans="1:15" ht="15" customHeight="1" x14ac:dyDescent="0.25">
      <c r="A29" s="103"/>
      <c r="B29" s="4"/>
      <c r="C29" s="73" t="s">
        <v>70</v>
      </c>
      <c r="D29" s="64" t="s">
        <v>71</v>
      </c>
      <c r="E29" s="7"/>
      <c r="F29" s="7"/>
      <c r="G29" s="7"/>
      <c r="H29" s="7">
        <v>1</v>
      </c>
      <c r="I29" s="7">
        <v>1</v>
      </c>
      <c r="J29" s="7"/>
      <c r="K29" s="63" t="s">
        <v>55</v>
      </c>
      <c r="L29" s="65" t="s">
        <v>56</v>
      </c>
      <c r="M29" s="20" t="s">
        <v>34</v>
      </c>
      <c r="N29" s="42"/>
      <c r="O29" s="42"/>
    </row>
    <row r="30" spans="1:15" ht="15" customHeight="1" collapsed="1" x14ac:dyDescent="0.25">
      <c r="A30" s="110" t="s">
        <v>72</v>
      </c>
      <c r="B30" s="4"/>
      <c r="C30" s="94" t="s">
        <v>73</v>
      </c>
      <c r="D30" s="7" t="s">
        <v>74</v>
      </c>
      <c r="E30" s="93">
        <v>0</v>
      </c>
      <c r="F30" s="93">
        <v>0</v>
      </c>
      <c r="G30" s="93">
        <v>0</v>
      </c>
      <c r="H30" s="93" t="s">
        <v>23</v>
      </c>
      <c r="I30" s="93">
        <v>1</v>
      </c>
      <c r="J30" s="93">
        <v>1</v>
      </c>
      <c r="K30" s="94" t="s">
        <v>55</v>
      </c>
      <c r="L30" s="64" t="s">
        <v>75</v>
      </c>
      <c r="M30" s="7"/>
      <c r="N30" s="42"/>
      <c r="O30" s="42"/>
    </row>
    <row r="31" spans="1:15" ht="15" customHeight="1" x14ac:dyDescent="0.25">
      <c r="A31" s="111"/>
      <c r="B31" s="4"/>
      <c r="C31" s="94"/>
      <c r="D31" s="7" t="s">
        <v>76</v>
      </c>
      <c r="E31" s="96"/>
      <c r="F31" s="96"/>
      <c r="G31" s="96"/>
      <c r="H31" s="96"/>
      <c r="I31" s="96"/>
      <c r="J31" s="96"/>
      <c r="K31" s="94"/>
      <c r="L31" s="64" t="s">
        <v>75</v>
      </c>
      <c r="M31" s="7"/>
      <c r="N31" s="42"/>
      <c r="O31" s="42"/>
    </row>
    <row r="32" spans="1:15" ht="15" customHeight="1" x14ac:dyDescent="0.25">
      <c r="A32" s="111"/>
      <c r="B32" s="4"/>
      <c r="C32" s="94"/>
      <c r="D32" s="7" t="s">
        <v>77</v>
      </c>
      <c r="E32" s="97"/>
      <c r="F32" s="97"/>
      <c r="G32" s="97"/>
      <c r="H32" s="97"/>
      <c r="I32" s="97"/>
      <c r="J32" s="97"/>
      <c r="K32" s="94"/>
      <c r="L32" s="64" t="s">
        <v>75</v>
      </c>
      <c r="M32" s="7"/>
      <c r="N32" s="42"/>
      <c r="O32" s="42"/>
    </row>
    <row r="33" spans="1:15" ht="15" customHeight="1" x14ac:dyDescent="0.25">
      <c r="A33" s="111"/>
      <c r="B33" s="4"/>
      <c r="C33" s="7" t="s">
        <v>78</v>
      </c>
      <c r="D33" s="4" t="s">
        <v>79</v>
      </c>
      <c r="E33" s="7">
        <v>0</v>
      </c>
      <c r="F33" s="7">
        <v>1</v>
      </c>
      <c r="G33" s="7">
        <v>1</v>
      </c>
      <c r="H33" s="7" t="s">
        <v>23</v>
      </c>
      <c r="I33" s="7">
        <v>1</v>
      </c>
      <c r="J33" s="7">
        <v>1</v>
      </c>
      <c r="K33" s="5" t="s">
        <v>80</v>
      </c>
      <c r="L33" s="64" t="s">
        <v>75</v>
      </c>
      <c r="M33" s="74" t="s">
        <v>81</v>
      </c>
      <c r="N33" s="42"/>
      <c r="O33" s="42"/>
    </row>
    <row r="34" spans="1:15" ht="15" customHeight="1" x14ac:dyDescent="0.25">
      <c r="A34" s="111"/>
      <c r="B34" s="4"/>
      <c r="C34" s="7" t="s">
        <v>82</v>
      </c>
      <c r="D34" s="7"/>
      <c r="E34" s="7">
        <v>1</v>
      </c>
      <c r="F34" s="7">
        <v>1</v>
      </c>
      <c r="G34" s="7">
        <v>1</v>
      </c>
      <c r="H34" s="7" t="s">
        <v>23</v>
      </c>
      <c r="I34" s="7">
        <v>1</v>
      </c>
      <c r="J34" s="7">
        <v>1</v>
      </c>
      <c r="K34" s="5" t="s">
        <v>80</v>
      </c>
      <c r="L34" s="64" t="s">
        <v>75</v>
      </c>
      <c r="M34" s="74" t="s">
        <v>31</v>
      </c>
      <c r="N34" s="42"/>
      <c r="O34" s="42"/>
    </row>
    <row r="35" spans="1:15" ht="15" customHeight="1" x14ac:dyDescent="0.25">
      <c r="A35" s="111"/>
      <c r="B35" s="4"/>
      <c r="C35" s="7" t="s">
        <v>83</v>
      </c>
      <c r="D35" s="7"/>
      <c r="E35" s="7">
        <v>0</v>
      </c>
      <c r="F35" s="7">
        <v>1</v>
      </c>
      <c r="G35" s="7">
        <v>1</v>
      </c>
      <c r="H35" s="7" t="s">
        <v>23</v>
      </c>
      <c r="I35" s="7">
        <v>1</v>
      </c>
      <c r="J35" s="7">
        <v>1</v>
      </c>
      <c r="K35" s="5" t="s">
        <v>80</v>
      </c>
      <c r="L35" s="64" t="s">
        <v>75</v>
      </c>
      <c r="M35" s="74" t="s">
        <v>31</v>
      </c>
      <c r="N35" s="42"/>
      <c r="O35" s="42"/>
    </row>
    <row r="36" spans="1:15" ht="15" customHeight="1" x14ac:dyDescent="0.25">
      <c r="A36" s="112"/>
      <c r="B36" s="4"/>
      <c r="C36" s="4" t="s">
        <v>84</v>
      </c>
      <c r="D36" s="7"/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1</v>
      </c>
      <c r="K36" s="5" t="s">
        <v>80</v>
      </c>
      <c r="L36" s="64" t="s">
        <v>75</v>
      </c>
      <c r="M36" s="75" t="s">
        <v>34</v>
      </c>
      <c r="N36" s="42"/>
      <c r="O36" s="42"/>
    </row>
    <row r="37" spans="1:15" ht="15" customHeight="1" x14ac:dyDescent="0.25">
      <c r="A37" s="103" t="s">
        <v>85</v>
      </c>
      <c r="B37" s="4"/>
      <c r="C37" s="93" t="s">
        <v>86</v>
      </c>
      <c r="D37" s="4" t="s">
        <v>87</v>
      </c>
      <c r="E37" s="93">
        <v>0</v>
      </c>
      <c r="F37" s="93">
        <v>1</v>
      </c>
      <c r="G37" s="93">
        <v>0</v>
      </c>
      <c r="H37" s="94" t="s">
        <v>23</v>
      </c>
      <c r="I37" s="93">
        <v>1</v>
      </c>
      <c r="J37" s="93">
        <v>0</v>
      </c>
      <c r="K37" s="113" t="s">
        <v>80</v>
      </c>
      <c r="L37" s="64" t="s">
        <v>75</v>
      </c>
      <c r="M37" s="92" t="s">
        <v>24</v>
      </c>
      <c r="N37" s="42"/>
      <c r="O37" s="42"/>
    </row>
    <row r="38" spans="1:15" ht="15" customHeight="1" x14ac:dyDescent="0.25">
      <c r="A38" s="103"/>
      <c r="B38" s="4"/>
      <c r="C38" s="96"/>
      <c r="D38" s="4" t="s">
        <v>88</v>
      </c>
      <c r="E38" s="96"/>
      <c r="F38" s="96"/>
      <c r="G38" s="96"/>
      <c r="H38" s="96"/>
      <c r="I38" s="96"/>
      <c r="J38" s="96"/>
      <c r="K38" s="114"/>
      <c r="L38" s="64" t="s">
        <v>75</v>
      </c>
      <c r="M38" s="75" t="s">
        <v>50</v>
      </c>
      <c r="N38" s="42"/>
      <c r="O38" s="42"/>
    </row>
    <row r="39" spans="1:15" ht="15" customHeight="1" x14ac:dyDescent="0.25">
      <c r="A39" s="103"/>
      <c r="B39" s="4"/>
      <c r="C39" s="97"/>
      <c r="D39" s="4" t="s">
        <v>89</v>
      </c>
      <c r="E39" s="97"/>
      <c r="F39" s="97"/>
      <c r="G39" s="97"/>
      <c r="H39" s="97"/>
      <c r="I39" s="97"/>
      <c r="J39" s="97"/>
      <c r="K39" s="115"/>
      <c r="L39" s="64" t="s">
        <v>75</v>
      </c>
      <c r="M39" s="75" t="s">
        <v>50</v>
      </c>
      <c r="N39" s="42"/>
      <c r="O39" s="42"/>
    </row>
    <row r="40" spans="1:15" ht="15" customHeight="1" x14ac:dyDescent="0.25">
      <c r="A40" s="103"/>
      <c r="B40" s="4"/>
      <c r="C40" s="4" t="s">
        <v>90</v>
      </c>
      <c r="D40" s="34"/>
      <c r="E40" s="7">
        <v>0</v>
      </c>
      <c r="F40" s="7">
        <v>1</v>
      </c>
      <c r="G40" s="7">
        <v>0</v>
      </c>
      <c r="H40" s="7" t="s">
        <v>23</v>
      </c>
      <c r="I40" s="7">
        <v>1</v>
      </c>
      <c r="J40" s="7">
        <v>0</v>
      </c>
      <c r="K40" s="5" t="s">
        <v>80</v>
      </c>
      <c r="L40" s="71" t="s">
        <v>75</v>
      </c>
      <c r="M40" s="33" t="s">
        <v>34</v>
      </c>
      <c r="N40" s="42"/>
      <c r="O40" s="42"/>
    </row>
    <row r="41" spans="1:15" ht="15" customHeight="1" x14ac:dyDescent="0.25">
      <c r="A41" s="103"/>
      <c r="B41" s="4"/>
      <c r="C41" s="98" t="s">
        <v>91</v>
      </c>
      <c r="D41" s="34" t="s">
        <v>92</v>
      </c>
      <c r="E41" s="93">
        <v>0</v>
      </c>
      <c r="F41" s="93">
        <v>1</v>
      </c>
      <c r="G41" s="93">
        <v>0</v>
      </c>
      <c r="H41" s="94">
        <v>0</v>
      </c>
      <c r="I41" s="93">
        <v>1</v>
      </c>
      <c r="J41" s="93">
        <v>0</v>
      </c>
      <c r="K41" s="5" t="s">
        <v>80</v>
      </c>
      <c r="L41" s="71" t="s">
        <v>75</v>
      </c>
      <c r="M41" s="119" t="s">
        <v>34</v>
      </c>
      <c r="N41" s="42"/>
      <c r="O41" s="130"/>
    </row>
    <row r="42" spans="1:15" ht="15" customHeight="1" x14ac:dyDescent="0.25">
      <c r="A42" s="103"/>
      <c r="B42" s="4"/>
      <c r="C42" s="99"/>
      <c r="D42" s="34" t="s">
        <v>93</v>
      </c>
      <c r="E42" s="96"/>
      <c r="F42" s="96"/>
      <c r="G42" s="96"/>
      <c r="H42" s="96"/>
      <c r="I42" s="96"/>
      <c r="J42" s="96"/>
      <c r="K42" s="5" t="s">
        <v>80</v>
      </c>
      <c r="L42" s="71" t="s">
        <v>75</v>
      </c>
      <c r="M42" s="120"/>
      <c r="N42" s="42"/>
      <c r="O42" s="131"/>
    </row>
    <row r="43" spans="1:15" ht="15" customHeight="1" x14ac:dyDescent="0.25">
      <c r="A43" s="103"/>
      <c r="B43" s="4"/>
      <c r="C43" s="104" t="s">
        <v>94</v>
      </c>
      <c r="D43" s="7" t="s">
        <v>95</v>
      </c>
      <c r="E43" s="93">
        <v>0</v>
      </c>
      <c r="F43" s="93">
        <v>1</v>
      </c>
      <c r="G43" s="93">
        <v>0</v>
      </c>
      <c r="H43" s="94">
        <v>1</v>
      </c>
      <c r="I43" s="93">
        <v>1</v>
      </c>
      <c r="J43" s="93">
        <v>0</v>
      </c>
      <c r="K43" s="104" t="s">
        <v>55</v>
      </c>
      <c r="L43" s="116" t="s">
        <v>75</v>
      </c>
      <c r="M43" s="98" t="s">
        <v>38</v>
      </c>
      <c r="N43" s="42"/>
      <c r="O43" s="130"/>
    </row>
    <row r="44" spans="1:15" ht="15" customHeight="1" x14ac:dyDescent="0.25">
      <c r="A44" s="103"/>
      <c r="B44" s="4"/>
      <c r="C44" s="104"/>
      <c r="D44" s="7" t="s">
        <v>96</v>
      </c>
      <c r="E44" s="96"/>
      <c r="F44" s="94"/>
      <c r="G44" s="96"/>
      <c r="H44" s="97"/>
      <c r="I44" s="96"/>
      <c r="J44" s="96"/>
      <c r="K44" s="104"/>
      <c r="L44" s="117"/>
      <c r="M44" s="99"/>
      <c r="N44" s="42"/>
      <c r="O44" s="132"/>
    </row>
    <row r="45" spans="1:15" ht="15" customHeight="1" x14ac:dyDescent="0.25">
      <c r="A45" s="103"/>
      <c r="B45" s="4"/>
      <c r="C45" s="104"/>
      <c r="D45" s="7" t="s">
        <v>97</v>
      </c>
      <c r="E45" s="96"/>
      <c r="F45" s="94"/>
      <c r="G45" s="96"/>
      <c r="H45" s="94"/>
      <c r="I45" s="96"/>
      <c r="J45" s="96"/>
      <c r="K45" s="104"/>
      <c r="L45" s="117"/>
      <c r="M45" s="99"/>
      <c r="N45" s="42"/>
      <c r="O45" s="132"/>
    </row>
    <row r="46" spans="1:15" ht="15" customHeight="1" x14ac:dyDescent="0.25">
      <c r="A46" s="103"/>
      <c r="B46" s="4"/>
      <c r="C46" s="104"/>
      <c r="D46" s="7" t="s">
        <v>98</v>
      </c>
      <c r="E46" s="97"/>
      <c r="F46" s="94"/>
      <c r="G46" s="97"/>
      <c r="H46" s="94"/>
      <c r="I46" s="97"/>
      <c r="J46" s="97"/>
      <c r="K46" s="104"/>
      <c r="L46" s="118"/>
      <c r="M46" s="100"/>
      <c r="N46" s="42"/>
      <c r="O46" s="131"/>
    </row>
    <row r="47" spans="1:15" ht="15" customHeight="1" x14ac:dyDescent="0.25">
      <c r="A47" s="103"/>
      <c r="B47" s="4"/>
      <c r="C47" s="4" t="s">
        <v>99</v>
      </c>
      <c r="D47" s="34"/>
      <c r="E47" s="34">
        <v>0</v>
      </c>
      <c r="F47" s="34">
        <v>1</v>
      </c>
      <c r="G47" s="34">
        <v>0</v>
      </c>
      <c r="H47" s="34">
        <v>1</v>
      </c>
      <c r="I47" s="34">
        <v>1</v>
      </c>
      <c r="J47" s="4">
        <v>0</v>
      </c>
      <c r="K47" s="33" t="s">
        <v>80</v>
      </c>
      <c r="L47" s="33" t="s">
        <v>75</v>
      </c>
      <c r="M47" s="33" t="s">
        <v>100</v>
      </c>
      <c r="N47" s="42"/>
      <c r="O47" s="42"/>
    </row>
    <row r="48" spans="1:15" ht="15" customHeight="1" x14ac:dyDescent="0.25">
      <c r="A48" s="103"/>
      <c r="B48" s="4"/>
      <c r="C48" s="4" t="s">
        <v>101</v>
      </c>
      <c r="D48" s="34"/>
      <c r="E48" s="34">
        <v>1</v>
      </c>
      <c r="F48" s="34">
        <v>1</v>
      </c>
      <c r="G48" s="34">
        <v>0</v>
      </c>
      <c r="H48" s="34">
        <v>1</v>
      </c>
      <c r="I48" s="34">
        <v>1</v>
      </c>
      <c r="J48" s="4">
        <v>0</v>
      </c>
      <c r="K48" s="33" t="s">
        <v>80</v>
      </c>
      <c r="L48" s="33" t="s">
        <v>75</v>
      </c>
      <c r="M48" s="33" t="s">
        <v>38</v>
      </c>
      <c r="N48" s="42"/>
      <c r="O48" s="42"/>
    </row>
    <row r="49" spans="1:15" ht="15" customHeight="1" x14ac:dyDescent="0.25">
      <c r="A49" s="103"/>
      <c r="B49" s="4"/>
      <c r="C49" s="4" t="s">
        <v>102</v>
      </c>
      <c r="D49" s="34"/>
      <c r="E49" s="34">
        <v>0</v>
      </c>
      <c r="F49" s="34">
        <v>1</v>
      </c>
      <c r="G49" s="34">
        <v>0</v>
      </c>
      <c r="H49" s="34">
        <v>1</v>
      </c>
      <c r="I49" s="34">
        <v>1</v>
      </c>
      <c r="J49" s="4">
        <v>0</v>
      </c>
      <c r="K49" s="33" t="s">
        <v>80</v>
      </c>
      <c r="L49" s="33" t="s">
        <v>75</v>
      </c>
      <c r="M49" s="33" t="s">
        <v>103</v>
      </c>
      <c r="N49" s="42"/>
      <c r="O49" s="42"/>
    </row>
    <row r="50" spans="1:15" ht="15" customHeight="1" x14ac:dyDescent="0.25">
      <c r="A50" s="105" t="s">
        <v>104</v>
      </c>
      <c r="B50" s="4"/>
      <c r="C50" s="4" t="s">
        <v>105</v>
      </c>
      <c r="D50" s="33"/>
      <c r="E50" s="34">
        <v>1</v>
      </c>
      <c r="F50" s="34">
        <v>1</v>
      </c>
      <c r="G50" s="34">
        <v>1</v>
      </c>
      <c r="H50" s="34">
        <v>1</v>
      </c>
      <c r="I50" s="34">
        <v>1</v>
      </c>
      <c r="J50" s="4">
        <v>1</v>
      </c>
      <c r="K50" s="4" t="s">
        <v>80</v>
      </c>
      <c r="L50" s="4" t="s">
        <v>75</v>
      </c>
      <c r="M50" s="33" t="s">
        <v>106</v>
      </c>
      <c r="N50" s="42"/>
      <c r="O50" s="42"/>
    </row>
    <row r="51" spans="1:15" ht="15" customHeight="1" x14ac:dyDescent="0.25">
      <c r="A51" s="106"/>
      <c r="B51" s="4"/>
      <c r="C51" s="4" t="s">
        <v>107</v>
      </c>
      <c r="D51" s="33" t="s">
        <v>108</v>
      </c>
      <c r="E51" s="34">
        <v>1</v>
      </c>
      <c r="F51" s="34">
        <v>1</v>
      </c>
      <c r="G51" s="34">
        <v>1</v>
      </c>
      <c r="H51" s="34">
        <v>1</v>
      </c>
      <c r="I51" s="34">
        <v>1</v>
      </c>
      <c r="J51" s="4">
        <v>1</v>
      </c>
      <c r="K51" s="5" t="s">
        <v>80</v>
      </c>
      <c r="L51" s="4" t="s">
        <v>109</v>
      </c>
      <c r="M51" s="33" t="s">
        <v>110</v>
      </c>
      <c r="N51" s="42"/>
      <c r="O51" s="42"/>
    </row>
    <row r="52" spans="1:15" ht="15" customHeight="1" x14ac:dyDescent="0.25">
      <c r="A52" s="106"/>
      <c r="B52" s="4"/>
      <c r="C52" s="7" t="s">
        <v>111</v>
      </c>
      <c r="D52" s="33" t="s">
        <v>112</v>
      </c>
      <c r="E52" s="34">
        <v>1</v>
      </c>
      <c r="F52" s="34">
        <v>1</v>
      </c>
      <c r="G52" s="34">
        <v>1</v>
      </c>
      <c r="H52" s="34">
        <v>1</v>
      </c>
      <c r="I52" s="34">
        <v>1</v>
      </c>
      <c r="J52" s="7">
        <v>1</v>
      </c>
      <c r="K52" s="5" t="s">
        <v>113</v>
      </c>
      <c r="L52" s="4" t="s">
        <v>75</v>
      </c>
      <c r="M52" s="33" t="s">
        <v>106</v>
      </c>
      <c r="N52" s="42"/>
      <c r="O52" s="42"/>
    </row>
    <row r="53" spans="1:15" ht="15" customHeight="1" x14ac:dyDescent="0.25">
      <c r="A53" s="106"/>
      <c r="B53" s="4"/>
      <c r="C53" s="4" t="s">
        <v>114</v>
      </c>
      <c r="D53" s="61"/>
      <c r="E53" s="34">
        <v>0</v>
      </c>
      <c r="F53" s="34">
        <v>0</v>
      </c>
      <c r="G53" s="34">
        <v>0</v>
      </c>
      <c r="H53" s="34">
        <v>1</v>
      </c>
      <c r="I53" s="34">
        <v>1</v>
      </c>
      <c r="J53" s="7">
        <v>0</v>
      </c>
      <c r="K53" s="5" t="s">
        <v>113</v>
      </c>
      <c r="L53" s="5" t="s">
        <v>75</v>
      </c>
      <c r="M53" s="119" t="s">
        <v>115</v>
      </c>
      <c r="N53" s="42"/>
      <c r="O53" s="42"/>
    </row>
    <row r="54" spans="1:15" ht="15" customHeight="1" x14ac:dyDescent="0.25">
      <c r="A54" s="106"/>
      <c r="B54" s="4"/>
      <c r="C54" s="4" t="s">
        <v>116</v>
      </c>
      <c r="D54" s="61" t="s">
        <v>117</v>
      </c>
      <c r="E54" s="34">
        <v>0</v>
      </c>
      <c r="F54" s="34">
        <v>0</v>
      </c>
      <c r="G54" s="34">
        <v>0</v>
      </c>
      <c r="H54" s="34">
        <v>1</v>
      </c>
      <c r="I54" s="34">
        <v>1</v>
      </c>
      <c r="J54" s="7">
        <v>0</v>
      </c>
      <c r="K54" s="5" t="s">
        <v>113</v>
      </c>
      <c r="L54" s="5" t="s">
        <v>75</v>
      </c>
      <c r="M54" s="120"/>
      <c r="N54" s="42"/>
      <c r="O54" s="42"/>
    </row>
    <row r="55" spans="1:15" ht="15" customHeight="1" x14ac:dyDescent="0.25">
      <c r="A55" s="106"/>
      <c r="B55" s="4"/>
      <c r="C55" s="4" t="s">
        <v>118</v>
      </c>
      <c r="D55" s="34" t="s">
        <v>119</v>
      </c>
      <c r="E55" s="34">
        <v>1</v>
      </c>
      <c r="F55" s="34">
        <v>1</v>
      </c>
      <c r="G55" s="35">
        <v>1</v>
      </c>
      <c r="H55" s="35">
        <v>1</v>
      </c>
      <c r="I55" s="34">
        <v>1</v>
      </c>
      <c r="J55" s="7">
        <v>1</v>
      </c>
      <c r="K55" s="5" t="s">
        <v>120</v>
      </c>
      <c r="L55" s="5" t="s">
        <v>75</v>
      </c>
      <c r="M55" s="33" t="s">
        <v>115</v>
      </c>
      <c r="N55" s="42"/>
      <c r="O55" s="42"/>
    </row>
    <row r="56" spans="1:15" ht="15" customHeight="1" x14ac:dyDescent="0.25">
      <c r="A56" s="106"/>
      <c r="B56" s="4"/>
      <c r="C56" s="4" t="s">
        <v>121</v>
      </c>
      <c r="D56" s="34" t="s">
        <v>122</v>
      </c>
      <c r="E56" s="34">
        <v>1</v>
      </c>
      <c r="F56" s="34">
        <v>1</v>
      </c>
      <c r="G56" s="35">
        <v>1</v>
      </c>
      <c r="H56" s="35">
        <v>1</v>
      </c>
      <c r="I56" s="34">
        <v>0</v>
      </c>
      <c r="J56" s="7">
        <v>1</v>
      </c>
      <c r="K56" s="5" t="s">
        <v>80</v>
      </c>
      <c r="L56" s="5" t="s">
        <v>75</v>
      </c>
      <c r="M56" s="33" t="s">
        <v>123</v>
      </c>
      <c r="N56" s="42"/>
      <c r="O56" s="42"/>
    </row>
    <row r="57" spans="1:15" ht="15" customHeight="1" x14ac:dyDescent="0.25">
      <c r="A57" s="106"/>
      <c r="B57" s="4"/>
      <c r="C57" s="4" t="s">
        <v>124</v>
      </c>
      <c r="D57" s="34"/>
      <c r="E57" s="34">
        <v>1</v>
      </c>
      <c r="F57" s="34">
        <v>1</v>
      </c>
      <c r="G57" s="35">
        <v>0</v>
      </c>
      <c r="H57" s="35">
        <v>0</v>
      </c>
      <c r="I57" s="34">
        <v>0</v>
      </c>
      <c r="J57" s="7">
        <v>1</v>
      </c>
      <c r="K57" s="5" t="s">
        <v>80</v>
      </c>
      <c r="L57" s="4" t="s">
        <v>109</v>
      </c>
      <c r="M57" s="33" t="s">
        <v>123</v>
      </c>
      <c r="N57" s="42"/>
      <c r="O57" s="42"/>
    </row>
    <row r="58" spans="1:15" ht="15" customHeight="1" x14ac:dyDescent="0.25">
      <c r="A58" s="106"/>
      <c r="B58" s="4"/>
      <c r="C58" s="4" t="s">
        <v>125</v>
      </c>
      <c r="D58" s="33" t="s">
        <v>126</v>
      </c>
      <c r="E58" s="34">
        <v>0</v>
      </c>
      <c r="F58" s="34">
        <v>0</v>
      </c>
      <c r="G58" s="35">
        <v>0</v>
      </c>
      <c r="H58" s="35">
        <v>1</v>
      </c>
      <c r="I58" s="34">
        <v>1</v>
      </c>
      <c r="J58" s="7">
        <v>0</v>
      </c>
      <c r="K58" s="5" t="s">
        <v>113</v>
      </c>
      <c r="L58" s="5" t="s">
        <v>75</v>
      </c>
      <c r="M58" s="76" t="s">
        <v>67</v>
      </c>
      <c r="N58" s="42"/>
      <c r="O58" s="42"/>
    </row>
    <row r="59" spans="1:15" ht="15" customHeight="1" x14ac:dyDescent="0.25">
      <c r="A59" s="107" t="s">
        <v>127</v>
      </c>
      <c r="B59" s="4"/>
      <c r="C59" s="4" t="s">
        <v>128</v>
      </c>
      <c r="D59" s="33" t="s">
        <v>129</v>
      </c>
      <c r="E59" s="34">
        <v>1</v>
      </c>
      <c r="F59" s="34">
        <v>1</v>
      </c>
      <c r="G59" s="34">
        <v>1</v>
      </c>
      <c r="H59" s="34">
        <v>1</v>
      </c>
      <c r="I59" s="34">
        <v>1</v>
      </c>
      <c r="J59" s="4">
        <v>0</v>
      </c>
      <c r="K59" s="5" t="s">
        <v>120</v>
      </c>
      <c r="L59" s="5" t="s">
        <v>75</v>
      </c>
      <c r="M59" s="33" t="s">
        <v>351</v>
      </c>
      <c r="N59" s="42"/>
      <c r="O59" s="42"/>
    </row>
    <row r="60" spans="1:15" ht="15.6" customHeight="1" x14ac:dyDescent="0.25">
      <c r="A60" s="108"/>
      <c r="B60" s="4"/>
      <c r="C60" s="4" t="s">
        <v>130</v>
      </c>
      <c r="D60" s="33" t="s">
        <v>131</v>
      </c>
      <c r="E60" s="34">
        <v>1</v>
      </c>
      <c r="F60" s="34">
        <v>1</v>
      </c>
      <c r="G60" s="34"/>
      <c r="H60" s="7">
        <v>1</v>
      </c>
      <c r="I60" s="34">
        <v>1</v>
      </c>
      <c r="J60" s="4">
        <v>0</v>
      </c>
      <c r="K60" s="5" t="s">
        <v>120</v>
      </c>
      <c r="L60" s="5" t="s">
        <v>75</v>
      </c>
      <c r="M60" s="33" t="s">
        <v>352</v>
      </c>
      <c r="N60" s="42"/>
      <c r="O60" s="42"/>
    </row>
    <row r="61" spans="1:15" ht="15" customHeight="1" x14ac:dyDescent="0.25">
      <c r="A61" s="108"/>
      <c r="B61" s="4"/>
      <c r="C61" s="4" t="s">
        <v>132</v>
      </c>
      <c r="D61" s="33" t="s">
        <v>133</v>
      </c>
      <c r="E61" s="34">
        <v>1</v>
      </c>
      <c r="F61" s="34">
        <v>1</v>
      </c>
      <c r="G61" s="34">
        <v>1</v>
      </c>
      <c r="H61" s="7">
        <v>1</v>
      </c>
      <c r="I61" s="34">
        <v>1</v>
      </c>
      <c r="J61" s="7">
        <v>0</v>
      </c>
      <c r="K61" s="5" t="s">
        <v>120</v>
      </c>
      <c r="L61" s="5" t="s">
        <v>75</v>
      </c>
      <c r="M61" s="33" t="s">
        <v>354</v>
      </c>
      <c r="N61" s="42"/>
      <c r="O61" s="42"/>
    </row>
    <row r="62" spans="1:15" ht="15.75" x14ac:dyDescent="0.25">
      <c r="A62" s="108"/>
      <c r="B62" s="4"/>
      <c r="C62" s="98" t="s">
        <v>134</v>
      </c>
      <c r="D62" s="33" t="s">
        <v>135</v>
      </c>
      <c r="E62" s="34">
        <v>0</v>
      </c>
      <c r="F62" s="34">
        <v>1</v>
      </c>
      <c r="G62" s="34">
        <v>1</v>
      </c>
      <c r="H62" s="7">
        <v>1</v>
      </c>
      <c r="I62" s="34">
        <v>1</v>
      </c>
      <c r="J62" s="7">
        <v>0</v>
      </c>
      <c r="K62" s="5" t="s">
        <v>113</v>
      </c>
      <c r="L62" s="5" t="s">
        <v>75</v>
      </c>
      <c r="M62" s="33" t="s">
        <v>353</v>
      </c>
      <c r="N62" s="42"/>
      <c r="O62" s="42"/>
    </row>
    <row r="63" spans="1:15" ht="15.75" x14ac:dyDescent="0.25">
      <c r="A63" s="109"/>
      <c r="B63" s="4"/>
      <c r="C63" s="100"/>
      <c r="D63" s="33" t="s">
        <v>136</v>
      </c>
      <c r="E63" s="34">
        <v>1</v>
      </c>
      <c r="F63" s="34">
        <v>1</v>
      </c>
      <c r="G63" s="34">
        <v>1</v>
      </c>
      <c r="H63" s="7">
        <v>1</v>
      </c>
      <c r="I63" s="34">
        <v>1</v>
      </c>
      <c r="J63" s="4">
        <v>0</v>
      </c>
      <c r="K63" s="5" t="s">
        <v>113</v>
      </c>
      <c r="L63" s="5" t="s">
        <v>75</v>
      </c>
      <c r="M63" s="33" t="s">
        <v>355</v>
      </c>
      <c r="N63" s="42"/>
      <c r="O63" s="42"/>
    </row>
    <row r="64" spans="1:15" ht="33" customHeight="1" x14ac:dyDescent="0.25">
      <c r="A64" s="101" t="s">
        <v>137</v>
      </c>
      <c r="B64" s="4">
        <v>13.1</v>
      </c>
      <c r="C64" s="4" t="s">
        <v>138</v>
      </c>
      <c r="D64" s="33" t="s">
        <v>139</v>
      </c>
      <c r="E64" s="34">
        <v>1</v>
      </c>
      <c r="F64" s="34">
        <v>1</v>
      </c>
      <c r="G64" s="7">
        <v>1</v>
      </c>
      <c r="H64" s="7">
        <v>1</v>
      </c>
      <c r="I64" s="34">
        <v>1</v>
      </c>
      <c r="J64" s="4">
        <v>0</v>
      </c>
      <c r="K64" s="5" t="s">
        <v>80</v>
      </c>
      <c r="L64" s="53"/>
      <c r="M64" s="6" t="s">
        <v>140</v>
      </c>
      <c r="N64" s="44" t="s">
        <v>141</v>
      </c>
      <c r="O64" s="45"/>
    </row>
    <row r="65" spans="1:15" ht="28.5" customHeight="1" x14ac:dyDescent="0.25">
      <c r="A65" s="102"/>
      <c r="B65" s="4">
        <v>13.1</v>
      </c>
      <c r="C65" s="4" t="s">
        <v>142</v>
      </c>
      <c r="D65" s="33" t="s">
        <v>143</v>
      </c>
      <c r="E65" s="34">
        <v>1</v>
      </c>
      <c r="F65" s="34">
        <v>1</v>
      </c>
      <c r="G65" s="7"/>
      <c r="H65" s="7">
        <v>1</v>
      </c>
      <c r="I65" s="34">
        <v>1</v>
      </c>
      <c r="J65" s="4">
        <v>0</v>
      </c>
      <c r="K65" s="5" t="s">
        <v>80</v>
      </c>
      <c r="L65" s="5"/>
      <c r="M65" s="6" t="s">
        <v>140</v>
      </c>
      <c r="N65" s="47" t="s">
        <v>144</v>
      </c>
      <c r="O65" s="45"/>
    </row>
    <row r="66" spans="1:15" ht="59.25" customHeight="1" x14ac:dyDescent="0.25">
      <c r="A66" s="102"/>
      <c r="B66" s="4">
        <v>13.1</v>
      </c>
      <c r="C66" s="36" t="s">
        <v>145</v>
      </c>
      <c r="D66" s="33" t="s">
        <v>146</v>
      </c>
      <c r="E66" s="34">
        <v>1</v>
      </c>
      <c r="F66" s="34">
        <v>1</v>
      </c>
      <c r="G66" s="34">
        <v>1</v>
      </c>
      <c r="H66" s="34">
        <v>1</v>
      </c>
      <c r="I66" s="34">
        <v>1</v>
      </c>
      <c r="J66" s="7">
        <v>0</v>
      </c>
      <c r="K66" s="5" t="s">
        <v>80</v>
      </c>
      <c r="L66" s="5"/>
      <c r="M66" s="6" t="s">
        <v>140</v>
      </c>
      <c r="N66" s="44" t="s">
        <v>147</v>
      </c>
      <c r="O66" s="45"/>
    </row>
    <row r="67" spans="1:15" ht="52.5" customHeight="1" x14ac:dyDescent="0.25">
      <c r="A67" s="102"/>
      <c r="B67" s="4">
        <v>13.1</v>
      </c>
      <c r="C67" s="4" t="s">
        <v>148</v>
      </c>
      <c r="D67" s="33" t="s">
        <v>149</v>
      </c>
      <c r="E67" s="34">
        <v>1</v>
      </c>
      <c r="F67" s="34">
        <v>1</v>
      </c>
      <c r="G67" s="34">
        <v>1</v>
      </c>
      <c r="H67" s="34">
        <v>1</v>
      </c>
      <c r="I67" s="34">
        <v>1</v>
      </c>
      <c r="J67" s="7">
        <v>0</v>
      </c>
      <c r="K67" s="5" t="s">
        <v>80</v>
      </c>
      <c r="L67" s="5"/>
      <c r="M67" s="6" t="s">
        <v>140</v>
      </c>
      <c r="N67" s="44" t="s">
        <v>150</v>
      </c>
      <c r="O67" s="45"/>
    </row>
    <row r="68" spans="1:15" ht="32.25" customHeight="1" x14ac:dyDescent="0.25">
      <c r="A68" s="102"/>
      <c r="B68" s="4">
        <v>13.1</v>
      </c>
      <c r="C68" s="4" t="s">
        <v>151</v>
      </c>
      <c r="D68" s="33" t="s">
        <v>149</v>
      </c>
      <c r="E68" s="34">
        <v>1</v>
      </c>
      <c r="F68" s="34">
        <v>1</v>
      </c>
      <c r="G68" s="34">
        <v>1</v>
      </c>
      <c r="H68" s="34">
        <v>1</v>
      </c>
      <c r="I68" s="34">
        <v>1</v>
      </c>
      <c r="J68" s="7">
        <v>0</v>
      </c>
      <c r="K68" s="5" t="s">
        <v>80</v>
      </c>
      <c r="L68" s="5"/>
      <c r="M68" s="6" t="s">
        <v>140</v>
      </c>
      <c r="N68" s="44" t="s">
        <v>152</v>
      </c>
      <c r="O68" s="45"/>
    </row>
    <row r="69" spans="1:15" ht="55.5" customHeight="1" x14ac:dyDescent="0.25">
      <c r="A69" s="102"/>
      <c r="B69" s="4">
        <v>13.1</v>
      </c>
      <c r="C69" s="36" t="s">
        <v>153</v>
      </c>
      <c r="D69" s="33" t="s">
        <v>154</v>
      </c>
      <c r="E69" s="34">
        <v>1</v>
      </c>
      <c r="F69" s="34">
        <v>1</v>
      </c>
      <c r="G69" s="34">
        <v>1</v>
      </c>
      <c r="H69" s="34">
        <v>1</v>
      </c>
      <c r="I69" s="34">
        <v>1</v>
      </c>
      <c r="J69" s="7">
        <v>0</v>
      </c>
      <c r="K69" s="5" t="s">
        <v>80</v>
      </c>
      <c r="L69" s="53"/>
      <c r="M69" s="6" t="s">
        <v>140</v>
      </c>
      <c r="N69" s="44" t="s">
        <v>155</v>
      </c>
      <c r="O69" s="45"/>
    </row>
    <row r="70" spans="1:15" ht="30" customHeight="1" x14ac:dyDescent="0.25">
      <c r="A70" s="102"/>
      <c r="B70" s="4">
        <v>13.1</v>
      </c>
      <c r="C70" s="4" t="s">
        <v>156</v>
      </c>
      <c r="D70" s="33" t="s">
        <v>154</v>
      </c>
      <c r="E70" s="34">
        <v>1</v>
      </c>
      <c r="F70" s="34">
        <v>1</v>
      </c>
      <c r="G70" s="34">
        <v>1</v>
      </c>
      <c r="H70" s="34">
        <v>1</v>
      </c>
      <c r="I70" s="34">
        <v>1</v>
      </c>
      <c r="J70" s="7">
        <v>0</v>
      </c>
      <c r="K70" s="5" t="s">
        <v>80</v>
      </c>
      <c r="L70" s="5"/>
      <c r="M70" s="6" t="s">
        <v>140</v>
      </c>
      <c r="N70" s="44" t="s">
        <v>157</v>
      </c>
      <c r="O70" s="45"/>
    </row>
    <row r="71" spans="1:15" ht="54" customHeight="1" x14ac:dyDescent="0.25">
      <c r="A71" s="102"/>
      <c r="B71" s="4">
        <v>13.1</v>
      </c>
      <c r="C71" s="36" t="s">
        <v>158</v>
      </c>
      <c r="D71" s="33" t="s">
        <v>149</v>
      </c>
      <c r="E71" s="34">
        <v>1</v>
      </c>
      <c r="F71" s="34">
        <v>1</v>
      </c>
      <c r="G71" s="34">
        <v>1</v>
      </c>
      <c r="H71" s="34">
        <v>1</v>
      </c>
      <c r="I71" s="34">
        <v>1</v>
      </c>
      <c r="J71" s="7">
        <v>0</v>
      </c>
      <c r="K71" s="5" t="s">
        <v>80</v>
      </c>
      <c r="L71" s="5"/>
      <c r="M71" s="6" t="s">
        <v>140</v>
      </c>
      <c r="N71" s="44" t="s">
        <v>159</v>
      </c>
      <c r="O71" s="45"/>
    </row>
    <row r="72" spans="1:15" ht="15" customHeight="1" x14ac:dyDescent="0.25">
      <c r="A72" s="102"/>
      <c r="B72" s="4">
        <v>13.1</v>
      </c>
      <c r="C72" s="4" t="s">
        <v>160</v>
      </c>
      <c r="D72" s="33" t="s">
        <v>149</v>
      </c>
      <c r="E72" s="34">
        <v>1</v>
      </c>
      <c r="F72" s="34">
        <v>1</v>
      </c>
      <c r="G72" s="34">
        <v>1</v>
      </c>
      <c r="H72" s="34">
        <v>1</v>
      </c>
      <c r="I72" s="34">
        <v>1</v>
      </c>
      <c r="J72" s="7">
        <v>0</v>
      </c>
      <c r="K72" s="5" t="s">
        <v>80</v>
      </c>
      <c r="L72" s="5"/>
      <c r="M72" s="6" t="s">
        <v>140</v>
      </c>
      <c r="N72" s="44" t="s">
        <v>161</v>
      </c>
      <c r="O72" s="45"/>
    </row>
    <row r="73" spans="1:15" ht="36.75" customHeight="1" x14ac:dyDescent="0.25">
      <c r="A73" s="102"/>
      <c r="B73" s="4">
        <v>13.1</v>
      </c>
      <c r="C73" s="36" t="s">
        <v>162</v>
      </c>
      <c r="D73" s="33" t="s">
        <v>163</v>
      </c>
      <c r="E73" s="34">
        <v>0</v>
      </c>
      <c r="F73" s="34">
        <v>0</v>
      </c>
      <c r="G73" s="34">
        <v>1</v>
      </c>
      <c r="H73" s="34">
        <v>1</v>
      </c>
      <c r="I73" s="34">
        <v>1</v>
      </c>
      <c r="J73" s="7">
        <v>0</v>
      </c>
      <c r="K73" s="5" t="s">
        <v>80</v>
      </c>
      <c r="L73" s="5"/>
      <c r="M73" s="6" t="s">
        <v>140</v>
      </c>
      <c r="N73" s="44" t="s">
        <v>164</v>
      </c>
      <c r="O73" s="45"/>
    </row>
    <row r="74" spans="1:15" ht="29.25" customHeight="1" x14ac:dyDescent="0.25">
      <c r="A74" s="102"/>
      <c r="B74" s="4">
        <v>13.1</v>
      </c>
      <c r="C74" s="4" t="s">
        <v>165</v>
      </c>
      <c r="D74" s="33"/>
      <c r="E74" s="34">
        <v>0</v>
      </c>
      <c r="F74" s="34">
        <v>0</v>
      </c>
      <c r="G74" s="34">
        <v>1</v>
      </c>
      <c r="H74" s="34">
        <v>1</v>
      </c>
      <c r="I74" s="34">
        <v>1</v>
      </c>
      <c r="J74" s="7">
        <v>0</v>
      </c>
      <c r="K74" s="5" t="s">
        <v>113</v>
      </c>
      <c r="L74" s="5"/>
      <c r="M74" s="33" t="s">
        <v>166</v>
      </c>
      <c r="N74" s="48" t="s">
        <v>167</v>
      </c>
      <c r="O74" s="45"/>
    </row>
    <row r="75" spans="1:15" ht="56.25" customHeight="1" x14ac:dyDescent="0.25">
      <c r="A75" s="102"/>
      <c r="B75" s="4">
        <v>13.1</v>
      </c>
      <c r="C75" s="4" t="s">
        <v>168</v>
      </c>
      <c r="D75" s="33" t="s">
        <v>169</v>
      </c>
      <c r="E75" s="34">
        <v>1</v>
      </c>
      <c r="F75" s="34">
        <v>1</v>
      </c>
      <c r="G75" s="34">
        <v>1</v>
      </c>
      <c r="H75" s="34">
        <v>1</v>
      </c>
      <c r="I75" s="34">
        <v>1</v>
      </c>
      <c r="J75" s="7">
        <v>0</v>
      </c>
      <c r="K75" s="5" t="s">
        <v>120</v>
      </c>
      <c r="L75" s="5"/>
      <c r="M75" s="6" t="s">
        <v>140</v>
      </c>
      <c r="N75" s="44" t="s">
        <v>170</v>
      </c>
      <c r="O75" s="45"/>
    </row>
    <row r="76" spans="1:15" ht="237" customHeight="1" x14ac:dyDescent="0.25">
      <c r="A76" s="102"/>
      <c r="B76" s="4">
        <v>13.1</v>
      </c>
      <c r="C76" s="4" t="s">
        <v>171</v>
      </c>
      <c r="D76" s="46" t="s">
        <v>172</v>
      </c>
      <c r="E76" s="34">
        <v>1</v>
      </c>
      <c r="F76" s="34">
        <v>0</v>
      </c>
      <c r="G76" s="34">
        <v>0</v>
      </c>
      <c r="H76" s="34">
        <v>0</v>
      </c>
      <c r="I76" s="34">
        <v>0</v>
      </c>
      <c r="J76" s="7">
        <v>0</v>
      </c>
      <c r="K76" s="5" t="s">
        <v>120</v>
      </c>
      <c r="L76" s="5"/>
      <c r="M76" s="6" t="s">
        <v>140</v>
      </c>
      <c r="N76" s="50" t="s">
        <v>173</v>
      </c>
      <c r="O76" s="49"/>
    </row>
    <row r="77" spans="1:15" ht="126.75" customHeight="1" x14ac:dyDescent="0.25">
      <c r="A77" s="102"/>
      <c r="B77" s="4">
        <v>13.1</v>
      </c>
      <c r="C77" s="4" t="s">
        <v>174</v>
      </c>
      <c r="D77" s="46" t="s">
        <v>175</v>
      </c>
      <c r="E77" s="34">
        <v>0</v>
      </c>
      <c r="F77" s="34">
        <v>1</v>
      </c>
      <c r="G77" s="34">
        <v>0</v>
      </c>
      <c r="H77" s="34">
        <v>0</v>
      </c>
      <c r="I77" s="34">
        <v>0</v>
      </c>
      <c r="J77" s="7">
        <v>0</v>
      </c>
      <c r="K77" s="5" t="s">
        <v>120</v>
      </c>
      <c r="L77" s="5"/>
      <c r="M77" s="6" t="s">
        <v>140</v>
      </c>
      <c r="N77" s="44" t="s">
        <v>176</v>
      </c>
      <c r="O77" s="49"/>
    </row>
    <row r="78" spans="1:15" ht="77.25" customHeight="1" x14ac:dyDescent="0.25">
      <c r="A78" s="102"/>
      <c r="B78" s="4">
        <v>13.1</v>
      </c>
      <c r="C78" s="4" t="s">
        <v>177</v>
      </c>
      <c r="D78" s="46" t="s">
        <v>175</v>
      </c>
      <c r="E78" s="34">
        <v>1</v>
      </c>
      <c r="F78" s="34">
        <v>0</v>
      </c>
      <c r="G78" s="34">
        <v>0</v>
      </c>
      <c r="H78" s="34">
        <v>0</v>
      </c>
      <c r="I78" s="34">
        <v>0</v>
      </c>
      <c r="J78" s="7">
        <v>0</v>
      </c>
      <c r="K78" s="5" t="s">
        <v>120</v>
      </c>
      <c r="L78" s="5"/>
      <c r="M78" s="6" t="s">
        <v>140</v>
      </c>
      <c r="N78" s="48" t="s">
        <v>178</v>
      </c>
      <c r="O78" s="49"/>
    </row>
    <row r="79" spans="1:15" ht="56.25" customHeight="1" x14ac:dyDescent="0.25">
      <c r="A79" s="102"/>
      <c r="B79" s="4">
        <v>13.1</v>
      </c>
      <c r="C79" s="4" t="s">
        <v>179</v>
      </c>
      <c r="D79" s="33" t="s">
        <v>143</v>
      </c>
      <c r="E79" s="34">
        <v>0</v>
      </c>
      <c r="F79" s="34">
        <v>0</v>
      </c>
      <c r="G79" s="34">
        <v>0</v>
      </c>
      <c r="H79" s="34">
        <v>0</v>
      </c>
      <c r="I79" s="34">
        <v>0</v>
      </c>
      <c r="J79" s="4">
        <v>1</v>
      </c>
      <c r="K79" s="5" t="s">
        <v>120</v>
      </c>
      <c r="L79" s="5"/>
      <c r="M79" s="6" t="s">
        <v>140</v>
      </c>
      <c r="N79" s="44" t="s">
        <v>180</v>
      </c>
      <c r="O79" s="49"/>
    </row>
    <row r="80" spans="1:15" ht="68.25" customHeight="1" x14ac:dyDescent="0.25">
      <c r="A80" s="102"/>
      <c r="B80" s="4">
        <v>13.1</v>
      </c>
      <c r="C80" s="4" t="s">
        <v>181</v>
      </c>
      <c r="D80" s="33" t="s">
        <v>143</v>
      </c>
      <c r="E80" s="34">
        <v>1</v>
      </c>
      <c r="F80" s="34">
        <v>1</v>
      </c>
      <c r="G80" s="34">
        <v>0</v>
      </c>
      <c r="H80" s="34">
        <v>0</v>
      </c>
      <c r="I80" s="34">
        <v>0</v>
      </c>
      <c r="J80" s="4">
        <v>1</v>
      </c>
      <c r="K80" s="5" t="s">
        <v>120</v>
      </c>
      <c r="L80" s="5"/>
      <c r="M80" s="6" t="s">
        <v>140</v>
      </c>
      <c r="N80" s="44" t="s">
        <v>182</v>
      </c>
      <c r="O80" s="49"/>
    </row>
    <row r="81" spans="1:15" ht="34.5" customHeight="1" x14ac:dyDescent="0.25">
      <c r="A81" s="102"/>
      <c r="B81" s="4">
        <v>13.1</v>
      </c>
      <c r="C81" s="4" t="s">
        <v>183</v>
      </c>
      <c r="D81" s="33" t="s">
        <v>143</v>
      </c>
      <c r="E81" s="34">
        <v>0</v>
      </c>
      <c r="F81" s="34">
        <v>0</v>
      </c>
      <c r="G81" s="4">
        <v>0</v>
      </c>
      <c r="H81" s="4">
        <v>0</v>
      </c>
      <c r="I81" s="4">
        <v>0</v>
      </c>
      <c r="J81" s="4">
        <v>0</v>
      </c>
      <c r="K81" s="5" t="s">
        <v>120</v>
      </c>
      <c r="L81" s="5"/>
      <c r="M81" s="6" t="s">
        <v>140</v>
      </c>
      <c r="N81" s="44" t="s">
        <v>184</v>
      </c>
      <c r="O81" s="49"/>
    </row>
    <row r="82" spans="1:15" ht="36.75" customHeight="1" x14ac:dyDescent="0.25">
      <c r="A82" s="102"/>
      <c r="B82" s="4">
        <v>13.1</v>
      </c>
      <c r="C82" s="36" t="s">
        <v>185</v>
      </c>
      <c r="D82" s="33" t="s">
        <v>143</v>
      </c>
      <c r="E82" s="34">
        <v>0</v>
      </c>
      <c r="F82" s="34">
        <v>1</v>
      </c>
      <c r="G82" s="4">
        <v>0</v>
      </c>
      <c r="H82" s="4">
        <v>0</v>
      </c>
      <c r="I82" s="4">
        <v>0</v>
      </c>
      <c r="J82" s="4">
        <v>0</v>
      </c>
      <c r="K82" s="5" t="s">
        <v>120</v>
      </c>
      <c r="L82" s="53"/>
      <c r="M82" s="6" t="s">
        <v>140</v>
      </c>
      <c r="N82" s="44" t="s">
        <v>186</v>
      </c>
      <c r="O82" s="49"/>
    </row>
    <row r="83" spans="1:15" ht="87.75" customHeight="1" x14ac:dyDescent="0.25">
      <c r="A83" s="102"/>
      <c r="B83" s="4">
        <v>13.1</v>
      </c>
      <c r="C83" s="36" t="s">
        <v>187</v>
      </c>
      <c r="D83" s="33" t="s">
        <v>188</v>
      </c>
      <c r="E83" s="34">
        <v>1</v>
      </c>
      <c r="F83" s="34">
        <v>1</v>
      </c>
      <c r="G83" s="33">
        <v>1</v>
      </c>
      <c r="H83" s="33">
        <v>1</v>
      </c>
      <c r="I83" s="33">
        <v>1</v>
      </c>
      <c r="J83" s="33">
        <v>1</v>
      </c>
      <c r="K83" s="5" t="s">
        <v>120</v>
      </c>
      <c r="L83" s="5"/>
      <c r="M83" s="6" t="s">
        <v>140</v>
      </c>
      <c r="N83" s="50" t="s">
        <v>189</v>
      </c>
      <c r="O83" s="45"/>
    </row>
    <row r="84" spans="1:15" ht="81" customHeight="1" x14ac:dyDescent="0.25">
      <c r="A84" s="102"/>
      <c r="B84" s="4">
        <v>13.1</v>
      </c>
      <c r="C84" s="36" t="s">
        <v>190</v>
      </c>
      <c r="D84" s="33" t="s">
        <v>188</v>
      </c>
      <c r="E84" s="34">
        <v>1</v>
      </c>
      <c r="F84" s="34">
        <v>1</v>
      </c>
      <c r="G84" s="33">
        <v>1</v>
      </c>
      <c r="H84" s="33">
        <v>1</v>
      </c>
      <c r="I84" s="33">
        <v>1</v>
      </c>
      <c r="J84" s="33">
        <v>1</v>
      </c>
      <c r="K84" s="5" t="s">
        <v>120</v>
      </c>
      <c r="L84" s="5"/>
      <c r="M84" s="6" t="s">
        <v>140</v>
      </c>
      <c r="N84" s="50" t="s">
        <v>191</v>
      </c>
      <c r="O84" s="45"/>
    </row>
    <row r="85" spans="1:15" ht="57" customHeight="1" x14ac:dyDescent="0.25">
      <c r="A85" s="102"/>
      <c r="B85" s="4">
        <v>13.1</v>
      </c>
      <c r="C85" s="4" t="s">
        <v>192</v>
      </c>
      <c r="D85" s="33" t="s">
        <v>143</v>
      </c>
      <c r="E85" s="34">
        <v>1</v>
      </c>
      <c r="F85" s="34">
        <v>0</v>
      </c>
      <c r="G85" s="4">
        <v>0</v>
      </c>
      <c r="H85" s="4">
        <v>0</v>
      </c>
      <c r="I85" s="4">
        <v>0</v>
      </c>
      <c r="J85" s="33">
        <v>1</v>
      </c>
      <c r="K85" s="5" t="s">
        <v>120</v>
      </c>
      <c r="L85" s="5"/>
      <c r="M85" s="6" t="s">
        <v>140</v>
      </c>
      <c r="N85" s="44" t="s">
        <v>193</v>
      </c>
      <c r="O85" s="49"/>
    </row>
    <row r="86" spans="1:15" ht="33" customHeight="1" x14ac:dyDescent="0.25">
      <c r="A86" s="102"/>
      <c r="B86" s="4">
        <v>13.1</v>
      </c>
      <c r="C86" s="4" t="s">
        <v>194</v>
      </c>
      <c r="D86" s="33"/>
      <c r="E86" s="34">
        <v>1</v>
      </c>
      <c r="F86" s="34">
        <v>0</v>
      </c>
      <c r="G86" s="33">
        <v>0</v>
      </c>
      <c r="H86" s="33">
        <v>0</v>
      </c>
      <c r="I86" s="33">
        <v>0</v>
      </c>
      <c r="J86" s="33">
        <v>1</v>
      </c>
      <c r="K86" s="5" t="s">
        <v>120</v>
      </c>
      <c r="L86" s="5"/>
      <c r="M86" s="6" t="s">
        <v>140</v>
      </c>
      <c r="N86" s="44" t="s">
        <v>195</v>
      </c>
      <c r="O86" s="49"/>
    </row>
    <row r="87" spans="1:15" ht="60" customHeight="1" x14ac:dyDescent="0.25">
      <c r="A87" s="102"/>
      <c r="B87" s="4">
        <v>13.1</v>
      </c>
      <c r="C87" s="4" t="s">
        <v>196</v>
      </c>
      <c r="D87" s="33"/>
      <c r="E87" s="34">
        <v>1</v>
      </c>
      <c r="F87" s="34">
        <v>0</v>
      </c>
      <c r="G87" s="33">
        <v>0</v>
      </c>
      <c r="H87" s="33">
        <v>0</v>
      </c>
      <c r="I87" s="33">
        <v>0</v>
      </c>
      <c r="J87" s="33">
        <v>1</v>
      </c>
      <c r="K87" s="5" t="s">
        <v>120</v>
      </c>
      <c r="L87" s="5"/>
      <c r="M87" s="6" t="s">
        <v>140</v>
      </c>
      <c r="N87" s="44" t="s">
        <v>197</v>
      </c>
      <c r="O87" s="49"/>
    </row>
    <row r="88" spans="1:15" ht="30" customHeight="1" x14ac:dyDescent="0.25">
      <c r="A88" s="102"/>
      <c r="B88" s="4">
        <v>13.1</v>
      </c>
      <c r="C88" s="4" t="s">
        <v>198</v>
      </c>
      <c r="D88" s="33" t="s">
        <v>199</v>
      </c>
      <c r="E88" s="34">
        <v>1</v>
      </c>
      <c r="F88" s="34">
        <v>1</v>
      </c>
      <c r="G88" s="33">
        <v>1</v>
      </c>
      <c r="H88" s="33">
        <v>1</v>
      </c>
      <c r="I88" s="33">
        <v>1</v>
      </c>
      <c r="J88" s="33">
        <v>1</v>
      </c>
      <c r="K88" s="5" t="s">
        <v>120</v>
      </c>
      <c r="L88" s="5"/>
      <c r="M88" s="6" t="s">
        <v>140</v>
      </c>
      <c r="N88" s="44"/>
      <c r="O88" s="49"/>
    </row>
    <row r="89" spans="1:15" ht="15" customHeight="1" x14ac:dyDescent="0.25">
      <c r="A89" s="102"/>
      <c r="B89" s="4">
        <v>13.1</v>
      </c>
      <c r="C89" s="4" t="s">
        <v>200</v>
      </c>
      <c r="D89" s="33" t="s">
        <v>201</v>
      </c>
      <c r="E89" s="34">
        <v>1</v>
      </c>
      <c r="F89" s="34">
        <v>1</v>
      </c>
      <c r="G89" s="33">
        <v>1</v>
      </c>
      <c r="H89" s="33">
        <v>1</v>
      </c>
      <c r="I89" s="33">
        <v>1</v>
      </c>
      <c r="J89" s="33">
        <v>1</v>
      </c>
      <c r="K89" s="5" t="s">
        <v>120</v>
      </c>
      <c r="L89" s="5"/>
      <c r="M89" s="6" t="s">
        <v>140</v>
      </c>
      <c r="N89" s="44" t="s">
        <v>202</v>
      </c>
      <c r="O89" s="49"/>
    </row>
    <row r="90" spans="1:15" ht="52.5" customHeight="1" x14ac:dyDescent="0.25">
      <c r="A90" s="102"/>
      <c r="B90" s="4">
        <v>13.1</v>
      </c>
      <c r="C90" s="36" t="s">
        <v>203</v>
      </c>
      <c r="D90" s="33" t="s">
        <v>204</v>
      </c>
      <c r="E90" s="34">
        <v>0</v>
      </c>
      <c r="F90" s="34">
        <v>0</v>
      </c>
      <c r="G90" s="33">
        <v>1</v>
      </c>
      <c r="H90" s="33">
        <v>1</v>
      </c>
      <c r="I90" s="33">
        <v>1</v>
      </c>
      <c r="J90" s="33">
        <v>0</v>
      </c>
      <c r="K90" s="5" t="s">
        <v>120</v>
      </c>
      <c r="L90" s="53"/>
      <c r="M90" s="6" t="s">
        <v>140</v>
      </c>
      <c r="N90" s="44"/>
      <c r="O90" s="49"/>
    </row>
    <row r="91" spans="1:15" ht="34.5" customHeight="1" x14ac:dyDescent="0.25">
      <c r="A91" s="102"/>
      <c r="B91" s="4">
        <v>13.1</v>
      </c>
      <c r="C91" s="4" t="s">
        <v>205</v>
      </c>
      <c r="D91" s="33" t="s">
        <v>143</v>
      </c>
      <c r="E91" s="34">
        <v>1</v>
      </c>
      <c r="F91" s="34">
        <v>1</v>
      </c>
      <c r="G91" s="33">
        <v>0</v>
      </c>
      <c r="H91" s="33">
        <v>0</v>
      </c>
      <c r="I91" s="33">
        <v>0</v>
      </c>
      <c r="J91" s="33">
        <v>1</v>
      </c>
      <c r="K91" s="5" t="s">
        <v>80</v>
      </c>
      <c r="L91" s="5"/>
      <c r="M91" s="6" t="s">
        <v>140</v>
      </c>
      <c r="N91" s="44" t="s">
        <v>206</v>
      </c>
      <c r="O91" s="49"/>
    </row>
    <row r="92" spans="1:15" ht="45.75" customHeight="1" x14ac:dyDescent="0.25">
      <c r="A92" s="102"/>
      <c r="B92" s="4">
        <v>13.1</v>
      </c>
      <c r="C92" s="36" t="s">
        <v>207</v>
      </c>
      <c r="D92" s="33" t="s">
        <v>208</v>
      </c>
      <c r="E92" s="34">
        <v>0</v>
      </c>
      <c r="F92" s="34">
        <v>0</v>
      </c>
      <c r="G92" s="33">
        <v>1</v>
      </c>
      <c r="H92" s="33">
        <v>1</v>
      </c>
      <c r="I92" s="33">
        <v>1</v>
      </c>
      <c r="J92" s="33">
        <v>0</v>
      </c>
      <c r="K92" s="52" t="s">
        <v>209</v>
      </c>
      <c r="L92" s="5"/>
      <c r="M92" s="6" t="s">
        <v>210</v>
      </c>
      <c r="N92" s="51" t="s">
        <v>211</v>
      </c>
      <c r="O92" s="49"/>
    </row>
    <row r="93" spans="1:15" s="70" customFormat="1" ht="54.75" customHeight="1" x14ac:dyDescent="0.25">
      <c r="A93" s="102"/>
      <c r="B93" s="4">
        <v>13.1</v>
      </c>
      <c r="C93" s="4" t="s">
        <v>212</v>
      </c>
      <c r="D93" s="33" t="s">
        <v>213</v>
      </c>
      <c r="E93" s="34">
        <v>0</v>
      </c>
      <c r="F93" s="34">
        <v>0</v>
      </c>
      <c r="G93" s="34">
        <v>0</v>
      </c>
      <c r="H93" s="34">
        <v>1</v>
      </c>
      <c r="I93" s="34">
        <v>1</v>
      </c>
      <c r="J93" s="34">
        <v>0</v>
      </c>
      <c r="K93" s="52" t="s">
        <v>209</v>
      </c>
      <c r="L93" s="52"/>
      <c r="M93" s="67" t="s">
        <v>214</v>
      </c>
      <c r="N93" s="68" t="s">
        <v>215</v>
      </c>
      <c r="O93" s="69"/>
    </row>
    <row r="94" spans="1:15" ht="50.25" customHeight="1" x14ac:dyDescent="0.25">
      <c r="A94" s="102"/>
      <c r="B94" s="4">
        <v>13.1</v>
      </c>
      <c r="C94" s="36" t="s">
        <v>216</v>
      </c>
      <c r="D94" s="33" t="s">
        <v>217</v>
      </c>
      <c r="E94" s="34">
        <v>1</v>
      </c>
      <c r="F94" s="34">
        <v>1</v>
      </c>
      <c r="G94" s="33">
        <v>1</v>
      </c>
      <c r="H94" s="33">
        <v>1</v>
      </c>
      <c r="I94" s="33">
        <v>1</v>
      </c>
      <c r="J94" s="33">
        <v>1</v>
      </c>
      <c r="K94" s="5" t="s">
        <v>120</v>
      </c>
      <c r="L94" s="37"/>
      <c r="M94" s="6" t="s">
        <v>218</v>
      </c>
      <c r="N94" s="44" t="s">
        <v>219</v>
      </c>
      <c r="O94" s="49"/>
    </row>
    <row r="95" spans="1:15" ht="50.25" customHeight="1" x14ac:dyDescent="0.25">
      <c r="A95" s="102"/>
      <c r="B95" s="4">
        <v>13.1</v>
      </c>
      <c r="C95" s="7" t="s">
        <v>220</v>
      </c>
      <c r="D95" s="33" t="s">
        <v>204</v>
      </c>
      <c r="E95" s="34">
        <v>1</v>
      </c>
      <c r="F95" s="34">
        <v>1</v>
      </c>
      <c r="G95" s="33">
        <v>1</v>
      </c>
      <c r="H95" s="33">
        <v>1</v>
      </c>
      <c r="I95" s="33">
        <v>1</v>
      </c>
      <c r="J95" s="33">
        <v>1</v>
      </c>
      <c r="K95" s="5" t="s">
        <v>120</v>
      </c>
      <c r="L95" s="37"/>
      <c r="M95" s="6" t="s">
        <v>140</v>
      </c>
      <c r="N95" s="48" t="s">
        <v>221</v>
      </c>
      <c r="O95" s="45"/>
    </row>
    <row r="96" spans="1:15" ht="51" customHeight="1" x14ac:dyDescent="0.25">
      <c r="A96" s="102"/>
      <c r="B96" s="4">
        <v>13.1</v>
      </c>
      <c r="C96" s="36" t="s">
        <v>222</v>
      </c>
      <c r="D96" s="33" t="s">
        <v>223</v>
      </c>
      <c r="E96" s="34">
        <v>1</v>
      </c>
      <c r="F96" s="34">
        <v>1</v>
      </c>
      <c r="G96" s="33">
        <v>0</v>
      </c>
      <c r="H96" s="33">
        <v>0</v>
      </c>
      <c r="I96" s="33">
        <v>0</v>
      </c>
      <c r="J96" s="33">
        <v>0</v>
      </c>
      <c r="K96" s="5" t="s">
        <v>120</v>
      </c>
      <c r="L96" s="37"/>
      <c r="M96" s="6" t="s">
        <v>140</v>
      </c>
      <c r="N96" s="48" t="s">
        <v>224</v>
      </c>
      <c r="O96" s="49"/>
    </row>
    <row r="97" spans="1:15" ht="57.75" customHeight="1" x14ac:dyDescent="0.25">
      <c r="A97" s="66"/>
      <c r="B97" s="4">
        <v>13.1</v>
      </c>
      <c r="C97" s="36" t="s">
        <v>225</v>
      </c>
      <c r="D97" s="33" t="s">
        <v>226</v>
      </c>
      <c r="E97" s="34">
        <v>1</v>
      </c>
      <c r="F97" s="34">
        <v>1</v>
      </c>
      <c r="G97" s="33">
        <v>1</v>
      </c>
      <c r="H97" s="33">
        <v>0</v>
      </c>
      <c r="I97" s="33">
        <v>0</v>
      </c>
      <c r="J97" s="33">
        <v>0</v>
      </c>
      <c r="K97" s="5" t="s">
        <v>120</v>
      </c>
      <c r="L97" s="37"/>
      <c r="M97" s="6" t="s">
        <v>227</v>
      </c>
      <c r="N97" s="48" t="s">
        <v>228</v>
      </c>
      <c r="O97" s="49"/>
    </row>
    <row r="98" spans="1:15" ht="15" customHeight="1" x14ac:dyDescent="0.25">
      <c r="C98" s="16"/>
    </row>
    <row r="99" spans="1:15" ht="15" customHeight="1" x14ac:dyDescent="0.25">
      <c r="C99" s="16"/>
    </row>
    <row r="100" spans="1:15" ht="15" customHeight="1" x14ac:dyDescent="0.25">
      <c r="C100" s="17"/>
    </row>
    <row r="101" spans="1:15" ht="15" customHeight="1" x14ac:dyDescent="0.25">
      <c r="C101" s="17"/>
    </row>
    <row r="102" spans="1:15" ht="15" customHeight="1" x14ac:dyDescent="0.25">
      <c r="C102" s="18"/>
    </row>
    <row r="103" spans="1:15" ht="15" customHeight="1" x14ac:dyDescent="0.25">
      <c r="C103" s="15"/>
    </row>
    <row r="104" spans="1:15" ht="15" customHeight="1" x14ac:dyDescent="0.25">
      <c r="C104" s="15"/>
    </row>
    <row r="105" spans="1:15" ht="15" customHeight="1" x14ac:dyDescent="0.25">
      <c r="C105" s="16"/>
    </row>
    <row r="106" spans="1:15" ht="15" customHeight="1" x14ac:dyDescent="0.25">
      <c r="C106" s="16"/>
    </row>
    <row r="107" spans="1:15" ht="15" customHeight="1" x14ac:dyDescent="0.25">
      <c r="C107" s="16"/>
    </row>
    <row r="108" spans="1:15" ht="15" customHeight="1" x14ac:dyDescent="0.25">
      <c r="C108" s="16"/>
    </row>
    <row r="109" spans="1:15" ht="15" customHeight="1" x14ac:dyDescent="0.25">
      <c r="C109" s="16"/>
    </row>
    <row r="110" spans="1:15" ht="15" customHeight="1" x14ac:dyDescent="0.25">
      <c r="C110" s="16"/>
    </row>
    <row r="111" spans="1:15" ht="15" customHeight="1" x14ac:dyDescent="0.25">
      <c r="C111" s="16"/>
    </row>
    <row r="112" spans="1:15" ht="15" customHeight="1" x14ac:dyDescent="0.25">
      <c r="C112" s="16"/>
    </row>
    <row r="113" spans="3:3" ht="15" customHeight="1" x14ac:dyDescent="0.25">
      <c r="C113" s="16"/>
    </row>
    <row r="114" spans="3:3" ht="15" customHeight="1" x14ac:dyDescent="0.25">
      <c r="C114" s="18"/>
    </row>
    <row r="115" spans="3:3" ht="15" customHeight="1" x14ac:dyDescent="0.25">
      <c r="C115" s="16"/>
    </row>
    <row r="116" spans="3:3" ht="15" customHeight="1" x14ac:dyDescent="0.25">
      <c r="C116" s="16"/>
    </row>
    <row r="117" spans="3:3" ht="15" customHeight="1" x14ac:dyDescent="0.25">
      <c r="C117" s="16"/>
    </row>
    <row r="118" spans="3:3" ht="15" customHeight="1" x14ac:dyDescent="0.25">
      <c r="C118" s="17"/>
    </row>
    <row r="119" spans="3:3" ht="15" customHeight="1" x14ac:dyDescent="0.25">
      <c r="C119" s="17"/>
    </row>
    <row r="120" spans="3:3" ht="15" customHeight="1" x14ac:dyDescent="0.25">
      <c r="C120" s="19"/>
    </row>
  </sheetData>
  <autoFilter ref="A5:O97" xr:uid="{1F0CAA74-DCE9-4F53-B5E7-EC1F72983376}"/>
  <mergeCells count="60">
    <mergeCell ref="O43:O46"/>
    <mergeCell ref="O41:O42"/>
    <mergeCell ref="M53:M54"/>
    <mergeCell ref="M43:M46"/>
    <mergeCell ref="K43:K46"/>
    <mergeCell ref="J30:J32"/>
    <mergeCell ref="J43:J46"/>
    <mergeCell ref="I41:I42"/>
    <mergeCell ref="J41:J42"/>
    <mergeCell ref="I37:I39"/>
    <mergeCell ref="J37:J39"/>
    <mergeCell ref="K37:K39"/>
    <mergeCell ref="L43:L46"/>
    <mergeCell ref="I43:I46"/>
    <mergeCell ref="M41:M42"/>
    <mergeCell ref="A1:M1"/>
    <mergeCell ref="A2:M2"/>
    <mergeCell ref="A3:D3"/>
    <mergeCell ref="A4:D4"/>
    <mergeCell ref="C7:C10"/>
    <mergeCell ref="A6:A18"/>
    <mergeCell ref="J7:J10"/>
    <mergeCell ref="K7:K10"/>
    <mergeCell ref="E3:J3"/>
    <mergeCell ref="E4:J4"/>
    <mergeCell ref="K4:L4"/>
    <mergeCell ref="E7:E10"/>
    <mergeCell ref="I7:I10"/>
    <mergeCell ref="A30:A36"/>
    <mergeCell ref="A19:A29"/>
    <mergeCell ref="C30:C32"/>
    <mergeCell ref="F30:F32"/>
    <mergeCell ref="E30:E32"/>
    <mergeCell ref="A64:A96"/>
    <mergeCell ref="A37:A49"/>
    <mergeCell ref="C43:C46"/>
    <mergeCell ref="E43:E46"/>
    <mergeCell ref="C37:C39"/>
    <mergeCell ref="A50:A58"/>
    <mergeCell ref="A59:A63"/>
    <mergeCell ref="C41:C42"/>
    <mergeCell ref="E41:E42"/>
    <mergeCell ref="E37:E39"/>
    <mergeCell ref="C62:C63"/>
    <mergeCell ref="F43:F46"/>
    <mergeCell ref="K3:L3"/>
    <mergeCell ref="K30:K32"/>
    <mergeCell ref="I30:I32"/>
    <mergeCell ref="F41:F42"/>
    <mergeCell ref="H41:H42"/>
    <mergeCell ref="G41:G42"/>
    <mergeCell ref="G43:G46"/>
    <mergeCell ref="H43:H46"/>
    <mergeCell ref="F37:F39"/>
    <mergeCell ref="G30:G32"/>
    <mergeCell ref="G37:G39"/>
    <mergeCell ref="H37:H39"/>
    <mergeCell ref="H30:H32"/>
    <mergeCell ref="F7:F10"/>
    <mergeCell ref="H7:H10"/>
  </mergeCells>
  <phoneticPr fontId="13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97086-6C07-4930-8D7F-DAC7F80D46D4}">
  <dimension ref="A1:A3"/>
  <sheetViews>
    <sheetView workbookViewId="0">
      <selection activeCell="A4" sqref="A4"/>
    </sheetView>
  </sheetViews>
  <sheetFormatPr baseColWidth="10" defaultColWidth="11.42578125" defaultRowHeight="15" x14ac:dyDescent="0.25"/>
  <cols>
    <col min="1" max="1" width="14.85546875" customWidth="1"/>
  </cols>
  <sheetData>
    <row r="1" spans="1:1" x14ac:dyDescent="0.25">
      <c r="A1" t="s">
        <v>69</v>
      </c>
    </row>
    <row r="2" spans="1:1" x14ac:dyDescent="0.25">
      <c r="A2" t="s">
        <v>229</v>
      </c>
    </row>
    <row r="3" spans="1:1" x14ac:dyDescent="0.25">
      <c r="A3" t="s">
        <v>230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0F854-A3B9-4AB7-B063-4A82DF177292}">
  <dimension ref="A2:E10"/>
  <sheetViews>
    <sheetView workbookViewId="0">
      <selection activeCell="C3" sqref="C3"/>
    </sheetView>
  </sheetViews>
  <sheetFormatPr baseColWidth="10" defaultColWidth="11.42578125" defaultRowHeight="15" x14ac:dyDescent="0.25"/>
  <cols>
    <col min="1" max="1" width="18.140625" customWidth="1"/>
    <col min="2" max="2" width="19.7109375" style="31" customWidth="1"/>
    <col min="3" max="3" width="11.5703125" style="31"/>
    <col min="4" max="4" width="20.28515625" style="31" customWidth="1"/>
    <col min="5" max="5" width="13.7109375" style="31" customWidth="1"/>
  </cols>
  <sheetData>
    <row r="2" spans="1:5" ht="37.15" customHeight="1" x14ac:dyDescent="0.25">
      <c r="A2" s="87" t="s">
        <v>231</v>
      </c>
      <c r="B2" s="88" t="s">
        <v>232</v>
      </c>
      <c r="C2" s="89" t="s">
        <v>233</v>
      </c>
      <c r="D2" s="89" t="s">
        <v>234</v>
      </c>
      <c r="E2" s="89" t="s">
        <v>235</v>
      </c>
    </row>
    <row r="3" spans="1:5" ht="21.6" customHeight="1" x14ac:dyDescent="0.25">
      <c r="A3" s="77" t="s">
        <v>236</v>
      </c>
      <c r="B3" s="90">
        <f>C3/D3</f>
        <v>0</v>
      </c>
      <c r="C3" s="91">
        <v>0</v>
      </c>
      <c r="D3" s="91">
        <v>34</v>
      </c>
      <c r="E3" s="91">
        <v>0</v>
      </c>
    </row>
    <row r="4" spans="1:5" ht="21.6" customHeight="1" x14ac:dyDescent="0.25">
      <c r="A4" s="78" t="s">
        <v>237</v>
      </c>
      <c r="B4" s="90">
        <f t="shared" ref="B4:B9" si="0">C4/D4</f>
        <v>9.0909090909090912E-2</v>
      </c>
      <c r="C4" s="91">
        <v>1</v>
      </c>
      <c r="D4" s="91">
        <v>11</v>
      </c>
      <c r="E4" s="91">
        <v>0</v>
      </c>
    </row>
    <row r="5" spans="1:5" ht="21.6" customHeight="1" x14ac:dyDescent="0.25">
      <c r="A5" s="79" t="s">
        <v>238</v>
      </c>
      <c r="B5" s="90">
        <f t="shared" si="0"/>
        <v>0</v>
      </c>
      <c r="C5" s="91">
        <v>0</v>
      </c>
      <c r="D5" s="91">
        <v>10</v>
      </c>
      <c r="E5" s="91">
        <v>0</v>
      </c>
    </row>
    <row r="6" spans="1:5" ht="21.6" customHeight="1" x14ac:dyDescent="0.25">
      <c r="A6" s="80" t="s">
        <v>239</v>
      </c>
      <c r="B6" s="90">
        <f t="shared" si="0"/>
        <v>0</v>
      </c>
      <c r="C6" s="91">
        <v>0</v>
      </c>
      <c r="D6" s="91">
        <v>7</v>
      </c>
      <c r="E6" s="91">
        <v>0</v>
      </c>
    </row>
    <row r="7" spans="1:5" ht="21.6" customHeight="1" x14ac:dyDescent="0.25">
      <c r="A7" s="81" t="s">
        <v>240</v>
      </c>
      <c r="B7" s="90">
        <f t="shared" si="0"/>
        <v>0</v>
      </c>
      <c r="C7" s="91">
        <v>0</v>
      </c>
      <c r="D7" s="91">
        <v>5</v>
      </c>
      <c r="E7" s="91">
        <v>0</v>
      </c>
    </row>
    <row r="8" spans="1:5" ht="21.6" customHeight="1" x14ac:dyDescent="0.25">
      <c r="A8" s="82" t="s">
        <v>241</v>
      </c>
      <c r="B8" s="90">
        <f t="shared" si="0"/>
        <v>0</v>
      </c>
      <c r="C8" s="91">
        <v>0</v>
      </c>
      <c r="D8" s="91">
        <v>4</v>
      </c>
      <c r="E8" s="91">
        <v>0</v>
      </c>
    </row>
    <row r="9" spans="1:5" ht="21.6" customHeight="1" x14ac:dyDescent="0.25">
      <c r="A9" s="83" t="s">
        <v>242</v>
      </c>
      <c r="B9" s="90">
        <f t="shared" si="0"/>
        <v>0</v>
      </c>
      <c r="C9" s="91">
        <v>0</v>
      </c>
      <c r="D9" s="91">
        <v>9</v>
      </c>
      <c r="E9" s="91">
        <v>0</v>
      </c>
    </row>
    <row r="10" spans="1:5" ht="18.600000000000001" customHeight="1" x14ac:dyDescent="0.25">
      <c r="A10" s="84" t="s">
        <v>243</v>
      </c>
      <c r="B10" s="85">
        <f>C10/D10</f>
        <v>1.2500000000000001E-2</v>
      </c>
      <c r="C10" s="86">
        <f>SUM(C3:C9)</f>
        <v>1</v>
      </c>
      <c r="D10" s="86">
        <f>SUM(D3:D9)</f>
        <v>80</v>
      </c>
      <c r="E10" s="86">
        <f>SUM(E3:E9)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8E66D-924F-4E06-BFD0-E605847FB744}">
  <dimension ref="A1:E81"/>
  <sheetViews>
    <sheetView zoomScale="85" zoomScaleNormal="85" workbookViewId="0">
      <selection activeCell="B4" sqref="B4"/>
    </sheetView>
  </sheetViews>
  <sheetFormatPr baseColWidth="10" defaultColWidth="9.28515625" defaultRowHeight="15" x14ac:dyDescent="0.25"/>
  <cols>
    <col min="1" max="1" width="25.42578125" style="31" customWidth="1"/>
    <col min="2" max="2" width="61.28515625" style="31" customWidth="1"/>
    <col min="3" max="3" width="31.42578125" style="31" customWidth="1"/>
    <col min="4" max="4" width="29.42578125" style="31" customWidth="1"/>
    <col min="5" max="5" width="30.5703125" style="31" customWidth="1"/>
    <col min="6" max="16384" width="9.28515625" style="31"/>
  </cols>
  <sheetData>
    <row r="1" spans="1:5" x14ac:dyDescent="0.25">
      <c r="A1" s="32" t="s">
        <v>7</v>
      </c>
      <c r="B1" s="32" t="s">
        <v>9</v>
      </c>
      <c r="C1" s="32" t="s">
        <v>244</v>
      </c>
      <c r="D1" s="32" t="s">
        <v>245</v>
      </c>
      <c r="E1" s="32" t="s">
        <v>246</v>
      </c>
    </row>
    <row r="2" spans="1:5" x14ac:dyDescent="0.25">
      <c r="A2" s="31" t="s">
        <v>247</v>
      </c>
      <c r="B2" s="31" t="s">
        <v>22</v>
      </c>
      <c r="C2" s="31">
        <v>1</v>
      </c>
      <c r="E2" s="31">
        <v>1</v>
      </c>
    </row>
    <row r="3" spans="1:5" x14ac:dyDescent="0.25">
      <c r="A3" s="31" t="s">
        <v>247</v>
      </c>
      <c r="B3" s="31" t="s">
        <v>25</v>
      </c>
      <c r="D3" s="31">
        <v>1</v>
      </c>
    </row>
    <row r="4" spans="1:5" x14ac:dyDescent="0.25">
      <c r="A4" s="31" t="s">
        <v>247</v>
      </c>
      <c r="B4" s="31" t="s">
        <v>248</v>
      </c>
      <c r="C4" s="31">
        <v>1</v>
      </c>
    </row>
    <row r="5" spans="1:5" x14ac:dyDescent="0.25">
      <c r="A5" s="31" t="s">
        <v>247</v>
      </c>
      <c r="B5" s="31" t="s">
        <v>249</v>
      </c>
      <c r="E5" s="31">
        <v>1</v>
      </c>
    </row>
    <row r="6" spans="1:5" x14ac:dyDescent="0.25">
      <c r="A6" s="31" t="s">
        <v>247</v>
      </c>
      <c r="B6" s="31" t="s">
        <v>250</v>
      </c>
      <c r="C6" s="31">
        <v>1</v>
      </c>
    </row>
    <row r="7" spans="1:5" x14ac:dyDescent="0.25">
      <c r="A7" s="31" t="s">
        <v>247</v>
      </c>
      <c r="B7" s="31" t="s">
        <v>251</v>
      </c>
      <c r="C7" s="31">
        <v>1</v>
      </c>
    </row>
    <row r="8" spans="1:5" x14ac:dyDescent="0.25">
      <c r="A8" s="31" t="s">
        <v>247</v>
      </c>
      <c r="B8" s="31" t="s">
        <v>252</v>
      </c>
      <c r="E8" s="31">
        <v>1</v>
      </c>
    </row>
    <row r="9" spans="1:5" x14ac:dyDescent="0.25">
      <c r="A9" s="31" t="s">
        <v>247</v>
      </c>
      <c r="B9" s="31" t="s">
        <v>253</v>
      </c>
      <c r="E9" s="31">
        <v>1</v>
      </c>
    </row>
    <row r="10" spans="1:5" x14ac:dyDescent="0.25">
      <c r="A10" s="31" t="s">
        <v>247</v>
      </c>
      <c r="B10" s="31" t="s">
        <v>254</v>
      </c>
      <c r="C10" s="31">
        <v>1</v>
      </c>
    </row>
    <row r="11" spans="1:5" x14ac:dyDescent="0.25">
      <c r="A11" s="31" t="s">
        <v>41</v>
      </c>
      <c r="B11" s="31" t="s">
        <v>255</v>
      </c>
      <c r="D11" s="31">
        <v>1</v>
      </c>
    </row>
    <row r="12" spans="1:5" x14ac:dyDescent="0.25">
      <c r="A12" s="31" t="s">
        <v>41</v>
      </c>
      <c r="B12" s="31" t="s">
        <v>256</v>
      </c>
      <c r="C12" s="31">
        <v>1</v>
      </c>
    </row>
    <row r="13" spans="1:5" x14ac:dyDescent="0.25">
      <c r="A13" s="31" t="s">
        <v>41</v>
      </c>
      <c r="B13" s="31" t="s">
        <v>257</v>
      </c>
      <c r="E13" s="31">
        <v>1</v>
      </c>
    </row>
    <row r="14" spans="1:5" x14ac:dyDescent="0.25">
      <c r="A14" s="31" t="s">
        <v>41</v>
      </c>
      <c r="B14" s="31" t="s">
        <v>258</v>
      </c>
      <c r="C14" s="31">
        <v>1</v>
      </c>
    </row>
    <row r="15" spans="1:5" x14ac:dyDescent="0.25">
      <c r="A15" s="31" t="s">
        <v>41</v>
      </c>
      <c r="B15" s="31" t="s">
        <v>51</v>
      </c>
      <c r="C15" s="31">
        <v>1</v>
      </c>
    </row>
    <row r="16" spans="1:5" x14ac:dyDescent="0.25">
      <c r="A16" s="31" t="s">
        <v>41</v>
      </c>
      <c r="B16" s="31" t="s">
        <v>259</v>
      </c>
      <c r="C16" s="31">
        <v>1</v>
      </c>
    </row>
    <row r="17" spans="1:5" x14ac:dyDescent="0.25">
      <c r="A17" s="31" t="s">
        <v>41</v>
      </c>
      <c r="B17" s="31" t="s">
        <v>260</v>
      </c>
      <c r="E17" s="31">
        <v>1</v>
      </c>
    </row>
    <row r="18" spans="1:5" x14ac:dyDescent="0.25">
      <c r="A18" s="31" t="s">
        <v>41</v>
      </c>
      <c r="B18" s="31" t="s">
        <v>261</v>
      </c>
      <c r="D18" s="31">
        <v>1</v>
      </c>
    </row>
    <row r="19" spans="1:5" x14ac:dyDescent="0.25">
      <c r="A19" s="31" t="s">
        <v>72</v>
      </c>
      <c r="B19" s="31" t="s">
        <v>73</v>
      </c>
      <c r="C19" s="31">
        <v>1</v>
      </c>
    </row>
    <row r="20" spans="1:5" x14ac:dyDescent="0.25">
      <c r="A20" s="31" t="s">
        <v>72</v>
      </c>
      <c r="B20" s="31" t="s">
        <v>78</v>
      </c>
      <c r="E20" s="31">
        <v>1</v>
      </c>
    </row>
    <row r="21" spans="1:5" x14ac:dyDescent="0.25">
      <c r="A21" s="31" t="s">
        <v>72</v>
      </c>
      <c r="B21" s="31" t="s">
        <v>82</v>
      </c>
      <c r="C21" s="31">
        <v>1</v>
      </c>
    </row>
    <row r="22" spans="1:5" x14ac:dyDescent="0.25">
      <c r="A22" s="31" t="s">
        <v>72</v>
      </c>
      <c r="B22" s="31" t="s">
        <v>83</v>
      </c>
      <c r="E22" s="31">
        <v>1</v>
      </c>
    </row>
    <row r="23" spans="1:5" x14ac:dyDescent="0.25">
      <c r="A23" s="31" t="s">
        <v>72</v>
      </c>
      <c r="B23" s="31" t="s">
        <v>262</v>
      </c>
      <c r="E23" s="31">
        <v>1</v>
      </c>
    </row>
    <row r="24" spans="1:5" x14ac:dyDescent="0.25">
      <c r="A24" s="31" t="s">
        <v>72</v>
      </c>
      <c r="B24" s="31" t="s">
        <v>84</v>
      </c>
      <c r="C24" s="31">
        <v>1</v>
      </c>
    </row>
    <row r="25" spans="1:5" x14ac:dyDescent="0.25">
      <c r="A25" s="31" t="s">
        <v>85</v>
      </c>
      <c r="B25" s="31" t="s">
        <v>86</v>
      </c>
      <c r="C25" s="31">
        <v>1</v>
      </c>
    </row>
    <row r="26" spans="1:5" x14ac:dyDescent="0.25">
      <c r="A26" s="31" t="s">
        <v>85</v>
      </c>
      <c r="B26" s="31" t="s">
        <v>90</v>
      </c>
      <c r="C26" s="31">
        <v>1</v>
      </c>
    </row>
    <row r="27" spans="1:5" x14ac:dyDescent="0.25">
      <c r="A27" s="31" t="s">
        <v>85</v>
      </c>
      <c r="B27" s="31" t="s">
        <v>263</v>
      </c>
      <c r="D27" s="31">
        <v>1</v>
      </c>
    </row>
    <row r="28" spans="1:5" x14ac:dyDescent="0.25">
      <c r="A28" s="31" t="s">
        <v>85</v>
      </c>
      <c r="B28" s="31" t="s">
        <v>94</v>
      </c>
      <c r="D28" s="31">
        <v>1</v>
      </c>
    </row>
    <row r="29" spans="1:5" x14ac:dyDescent="0.25">
      <c r="A29" s="31" t="s">
        <v>85</v>
      </c>
      <c r="B29" s="31" t="s">
        <v>99</v>
      </c>
      <c r="E29" s="31">
        <v>1</v>
      </c>
    </row>
    <row r="30" spans="1:5" x14ac:dyDescent="0.25">
      <c r="A30" s="31" t="s">
        <v>85</v>
      </c>
      <c r="B30" s="31" t="s">
        <v>264</v>
      </c>
      <c r="C30" s="31">
        <v>1</v>
      </c>
    </row>
    <row r="31" spans="1:5" x14ac:dyDescent="0.25">
      <c r="A31" s="31" t="s">
        <v>85</v>
      </c>
      <c r="B31" s="31" t="s">
        <v>265</v>
      </c>
      <c r="E31" s="31">
        <v>1</v>
      </c>
    </row>
    <row r="32" spans="1:5" x14ac:dyDescent="0.25">
      <c r="A32" s="31" t="s">
        <v>85</v>
      </c>
      <c r="B32" s="31" t="s">
        <v>101</v>
      </c>
      <c r="E32" s="31">
        <v>1</v>
      </c>
    </row>
    <row r="33" spans="1:5" x14ac:dyDescent="0.25">
      <c r="A33" s="31" t="s">
        <v>85</v>
      </c>
      <c r="B33" s="31" t="s">
        <v>102</v>
      </c>
      <c r="C33" s="31">
        <v>1</v>
      </c>
    </row>
    <row r="34" spans="1:5" x14ac:dyDescent="0.25">
      <c r="A34" s="31" t="s">
        <v>85</v>
      </c>
      <c r="B34" s="31" t="s">
        <v>266</v>
      </c>
      <c r="E34" s="31">
        <v>1</v>
      </c>
    </row>
    <row r="35" spans="1:5" x14ac:dyDescent="0.25">
      <c r="A35" s="31" t="s">
        <v>85</v>
      </c>
      <c r="B35" s="31" t="s">
        <v>267</v>
      </c>
      <c r="E35" s="31">
        <v>1</v>
      </c>
    </row>
    <row r="36" spans="1:5" x14ac:dyDescent="0.25">
      <c r="A36" s="31" t="s">
        <v>104</v>
      </c>
      <c r="B36" s="31" t="s">
        <v>105</v>
      </c>
      <c r="D36" s="31">
        <v>1</v>
      </c>
    </row>
    <row r="37" spans="1:5" x14ac:dyDescent="0.25">
      <c r="A37" s="31" t="s">
        <v>104</v>
      </c>
      <c r="B37" s="31" t="s">
        <v>107</v>
      </c>
      <c r="E37" s="31">
        <v>1</v>
      </c>
    </row>
    <row r="38" spans="1:5" x14ac:dyDescent="0.25">
      <c r="A38" s="31" t="s">
        <v>104</v>
      </c>
      <c r="B38" s="31" t="s">
        <v>111</v>
      </c>
      <c r="C38" s="31">
        <v>1</v>
      </c>
    </row>
    <row r="39" spans="1:5" x14ac:dyDescent="0.25">
      <c r="A39" s="31" t="s">
        <v>104</v>
      </c>
      <c r="B39" s="31" t="s">
        <v>114</v>
      </c>
      <c r="E39" s="31">
        <v>1</v>
      </c>
    </row>
    <row r="40" spans="1:5" x14ac:dyDescent="0.25">
      <c r="A40" s="31" t="s">
        <v>104</v>
      </c>
      <c r="B40" s="31" t="s">
        <v>116</v>
      </c>
      <c r="E40" s="31">
        <v>1</v>
      </c>
    </row>
    <row r="41" spans="1:5" x14ac:dyDescent="0.25">
      <c r="A41" s="31" t="s">
        <v>104</v>
      </c>
      <c r="B41" s="31" t="s">
        <v>125</v>
      </c>
      <c r="E41" s="31">
        <v>1</v>
      </c>
    </row>
    <row r="42" spans="1:5" x14ac:dyDescent="0.25">
      <c r="A42" s="31" t="s">
        <v>127</v>
      </c>
      <c r="B42" s="31" t="s">
        <v>268</v>
      </c>
      <c r="C42" s="31">
        <v>1</v>
      </c>
    </row>
    <row r="43" spans="1:5" x14ac:dyDescent="0.25">
      <c r="A43" s="31" t="s">
        <v>127</v>
      </c>
      <c r="B43" s="31" t="s">
        <v>130</v>
      </c>
      <c r="E43" s="31">
        <v>1</v>
      </c>
    </row>
    <row r="44" spans="1:5" x14ac:dyDescent="0.25">
      <c r="A44" s="31" t="s">
        <v>127</v>
      </c>
      <c r="B44" s="31" t="s">
        <v>269</v>
      </c>
      <c r="E44" s="31">
        <v>1</v>
      </c>
    </row>
    <row r="45" spans="1:5" x14ac:dyDescent="0.25">
      <c r="A45" s="31" t="s">
        <v>127</v>
      </c>
      <c r="B45" s="31" t="s">
        <v>270</v>
      </c>
      <c r="C45" s="31">
        <v>1</v>
      </c>
    </row>
    <row r="46" spans="1:5" x14ac:dyDescent="0.25">
      <c r="A46" s="31" t="s">
        <v>137</v>
      </c>
      <c r="B46" s="31" t="s">
        <v>138</v>
      </c>
    </row>
    <row r="47" spans="1:5" x14ac:dyDescent="0.25">
      <c r="A47" s="31" t="s">
        <v>137</v>
      </c>
      <c r="B47" s="31" t="s">
        <v>142</v>
      </c>
    </row>
    <row r="48" spans="1:5" x14ac:dyDescent="0.25">
      <c r="A48" s="31" t="s">
        <v>137</v>
      </c>
      <c r="B48" s="31" t="s">
        <v>271</v>
      </c>
    </row>
    <row r="49" spans="1:5" x14ac:dyDescent="0.25">
      <c r="A49" s="31" t="s">
        <v>137</v>
      </c>
      <c r="B49" s="31" t="s">
        <v>148</v>
      </c>
    </row>
    <row r="50" spans="1:5" x14ac:dyDescent="0.25">
      <c r="A50" s="31" t="s">
        <v>137</v>
      </c>
      <c r="B50" s="31" t="s">
        <v>151</v>
      </c>
      <c r="E50" s="31">
        <v>1</v>
      </c>
    </row>
    <row r="51" spans="1:5" x14ac:dyDescent="0.25">
      <c r="A51" s="31" t="s">
        <v>137</v>
      </c>
      <c r="B51" s="31" t="s">
        <v>153</v>
      </c>
      <c r="E51" s="31">
        <v>1</v>
      </c>
    </row>
    <row r="52" spans="1:5" x14ac:dyDescent="0.25">
      <c r="A52" s="31" t="s">
        <v>137</v>
      </c>
      <c r="B52" s="31" t="s">
        <v>156</v>
      </c>
    </row>
    <row r="53" spans="1:5" x14ac:dyDescent="0.25">
      <c r="A53" s="31" t="s">
        <v>137</v>
      </c>
      <c r="B53" s="31" t="s">
        <v>158</v>
      </c>
      <c r="E53" s="31">
        <v>1</v>
      </c>
    </row>
    <row r="54" spans="1:5" x14ac:dyDescent="0.25">
      <c r="A54" s="31" t="s">
        <v>137</v>
      </c>
      <c r="B54" s="31" t="s">
        <v>160</v>
      </c>
      <c r="E54" s="31">
        <v>1</v>
      </c>
    </row>
    <row r="55" spans="1:5" x14ac:dyDescent="0.25">
      <c r="A55" s="31" t="s">
        <v>137</v>
      </c>
      <c r="B55" s="31" t="s">
        <v>272</v>
      </c>
    </row>
    <row r="56" spans="1:5" x14ac:dyDescent="0.25">
      <c r="A56" s="31" t="s">
        <v>137</v>
      </c>
      <c r="B56" s="31" t="s">
        <v>165</v>
      </c>
      <c r="E56" s="31">
        <v>1</v>
      </c>
    </row>
    <row r="57" spans="1:5" x14ac:dyDescent="0.25">
      <c r="A57" s="31" t="s">
        <v>137</v>
      </c>
      <c r="B57" s="31" t="s">
        <v>168</v>
      </c>
      <c r="E57" s="31">
        <v>1</v>
      </c>
    </row>
    <row r="58" spans="1:5" x14ac:dyDescent="0.25">
      <c r="A58" s="31" t="s">
        <v>137</v>
      </c>
      <c r="B58" s="31" t="s">
        <v>171</v>
      </c>
      <c r="C58" s="31">
        <v>1</v>
      </c>
    </row>
    <row r="59" spans="1:5" x14ac:dyDescent="0.25">
      <c r="A59" s="31" t="s">
        <v>137</v>
      </c>
      <c r="B59" s="31" t="s">
        <v>273</v>
      </c>
      <c r="C59" s="31">
        <v>1</v>
      </c>
    </row>
    <row r="60" spans="1:5" x14ac:dyDescent="0.25">
      <c r="A60" s="31" t="s">
        <v>137</v>
      </c>
      <c r="B60" s="31" t="s">
        <v>177</v>
      </c>
      <c r="C60" s="31">
        <v>1</v>
      </c>
    </row>
    <row r="61" spans="1:5" x14ac:dyDescent="0.25">
      <c r="A61" s="31" t="s">
        <v>137</v>
      </c>
      <c r="B61" s="31" t="s">
        <v>274</v>
      </c>
      <c r="C61" s="31">
        <v>1</v>
      </c>
    </row>
    <row r="62" spans="1:5" x14ac:dyDescent="0.25">
      <c r="A62" s="31" t="s">
        <v>137</v>
      </c>
      <c r="B62" s="31" t="s">
        <v>179</v>
      </c>
      <c r="C62" s="31">
        <v>1</v>
      </c>
    </row>
    <row r="63" spans="1:5" x14ac:dyDescent="0.25">
      <c r="A63" s="31" t="s">
        <v>137</v>
      </c>
      <c r="B63" s="31" t="s">
        <v>275</v>
      </c>
      <c r="C63" s="31">
        <v>1</v>
      </c>
    </row>
    <row r="64" spans="1:5" x14ac:dyDescent="0.25">
      <c r="A64" s="31" t="s">
        <v>137</v>
      </c>
      <c r="B64" s="31" t="s">
        <v>183</v>
      </c>
      <c r="E64" s="31">
        <v>1</v>
      </c>
    </row>
    <row r="65" spans="1:5" x14ac:dyDescent="0.25">
      <c r="A65" s="31" t="s">
        <v>137</v>
      </c>
      <c r="B65" s="31" t="s">
        <v>185</v>
      </c>
      <c r="E65" s="31">
        <v>1</v>
      </c>
    </row>
    <row r="66" spans="1:5" x14ac:dyDescent="0.25">
      <c r="A66" s="31" t="s">
        <v>137</v>
      </c>
      <c r="B66" s="31" t="s">
        <v>187</v>
      </c>
      <c r="C66" s="31">
        <v>1</v>
      </c>
    </row>
    <row r="67" spans="1:5" x14ac:dyDescent="0.25">
      <c r="A67" s="31" t="s">
        <v>137</v>
      </c>
      <c r="B67" s="31" t="s">
        <v>276</v>
      </c>
      <c r="C67" s="31">
        <v>1</v>
      </c>
    </row>
    <row r="68" spans="1:5" x14ac:dyDescent="0.25">
      <c r="A68" s="31" t="s">
        <v>137</v>
      </c>
      <c r="B68" s="31" t="s">
        <v>277</v>
      </c>
      <c r="C68" s="31">
        <v>1</v>
      </c>
    </row>
    <row r="69" spans="1:5" x14ac:dyDescent="0.25">
      <c r="A69" s="31" t="s">
        <v>137</v>
      </c>
      <c r="B69" s="31" t="s">
        <v>278</v>
      </c>
    </row>
    <row r="70" spans="1:5" x14ac:dyDescent="0.25">
      <c r="A70" s="31" t="s">
        <v>137</v>
      </c>
      <c r="B70" s="31" t="s">
        <v>279</v>
      </c>
    </row>
    <row r="71" spans="1:5" x14ac:dyDescent="0.25">
      <c r="A71" s="31" t="s">
        <v>137</v>
      </c>
      <c r="B71" s="31" t="s">
        <v>198</v>
      </c>
      <c r="C71" s="31">
        <v>1</v>
      </c>
    </row>
    <row r="72" spans="1:5" x14ac:dyDescent="0.25">
      <c r="A72" s="31" t="s">
        <v>137</v>
      </c>
      <c r="B72" s="31" t="s">
        <v>200</v>
      </c>
      <c r="C72" s="31">
        <v>1</v>
      </c>
    </row>
    <row r="73" spans="1:5" x14ac:dyDescent="0.25">
      <c r="A73" s="31" t="s">
        <v>137</v>
      </c>
      <c r="B73" s="31" t="s">
        <v>280</v>
      </c>
      <c r="C73" s="31">
        <v>1</v>
      </c>
    </row>
    <row r="74" spans="1:5" x14ac:dyDescent="0.25">
      <c r="A74" s="31" t="s">
        <v>137</v>
      </c>
      <c r="B74" s="31" t="s">
        <v>281</v>
      </c>
      <c r="E74" s="31">
        <v>1</v>
      </c>
    </row>
    <row r="75" spans="1:5" x14ac:dyDescent="0.25">
      <c r="A75" s="31" t="s">
        <v>137</v>
      </c>
      <c r="B75" s="31" t="s">
        <v>205</v>
      </c>
      <c r="E75" s="31">
        <v>1</v>
      </c>
    </row>
    <row r="76" spans="1:5" x14ac:dyDescent="0.25">
      <c r="A76" s="31" t="s">
        <v>137</v>
      </c>
      <c r="B76" s="31" t="s">
        <v>282</v>
      </c>
      <c r="D76" s="31">
        <v>1</v>
      </c>
    </row>
    <row r="77" spans="1:5" x14ac:dyDescent="0.25">
      <c r="A77" s="31" t="s">
        <v>137</v>
      </c>
      <c r="B77" s="31" t="s">
        <v>283</v>
      </c>
      <c r="D77" s="31">
        <v>1</v>
      </c>
    </row>
    <row r="78" spans="1:5" x14ac:dyDescent="0.25">
      <c r="A78" s="31" t="s">
        <v>137</v>
      </c>
      <c r="B78" s="31" t="s">
        <v>284</v>
      </c>
      <c r="D78" s="31">
        <v>1</v>
      </c>
    </row>
    <row r="79" spans="1:5" x14ac:dyDescent="0.25">
      <c r="A79" s="31" t="s">
        <v>137</v>
      </c>
      <c r="B79" s="31" t="s">
        <v>285</v>
      </c>
      <c r="C79" s="31">
        <v>1</v>
      </c>
    </row>
    <row r="80" spans="1:5" x14ac:dyDescent="0.25">
      <c r="A80" s="31" t="s">
        <v>137</v>
      </c>
      <c r="B80" s="31" t="s">
        <v>286</v>
      </c>
      <c r="C80" s="31">
        <v>1</v>
      </c>
    </row>
    <row r="81" spans="1:4" x14ac:dyDescent="0.25">
      <c r="A81" s="31" t="s">
        <v>137</v>
      </c>
      <c r="B81" s="31" t="s">
        <v>287</v>
      </c>
      <c r="D81" s="3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CF35E-66D8-49FD-8513-E36DCAB03025}">
  <dimension ref="B2:F71"/>
  <sheetViews>
    <sheetView topLeftCell="A54" workbookViewId="0">
      <selection activeCell="F71" sqref="F71"/>
    </sheetView>
  </sheetViews>
  <sheetFormatPr baseColWidth="10" defaultColWidth="10.7109375" defaultRowHeight="12.75" x14ac:dyDescent="0.2"/>
  <cols>
    <col min="1" max="1" width="10.7109375" style="22"/>
    <col min="2" max="2" width="8.42578125" style="22" customWidth="1"/>
    <col min="3" max="3" width="40" style="22" customWidth="1"/>
    <col min="4" max="4" width="19.5703125" style="22" bestFit="1" customWidth="1"/>
    <col min="5" max="16384" width="10.7109375" style="22"/>
  </cols>
  <sheetData>
    <row r="2" spans="2:4" x14ac:dyDescent="0.2">
      <c r="B2" s="25" t="s">
        <v>288</v>
      </c>
      <c r="C2" s="25" t="s">
        <v>289</v>
      </c>
      <c r="D2" s="25" t="s">
        <v>290</v>
      </c>
    </row>
    <row r="3" spans="2:4" x14ac:dyDescent="0.2">
      <c r="B3" s="4" t="s">
        <v>291</v>
      </c>
      <c r="C3" s="7" t="s">
        <v>255</v>
      </c>
      <c r="D3" s="29" t="s">
        <v>292</v>
      </c>
    </row>
    <row r="4" spans="2:4" x14ac:dyDescent="0.2">
      <c r="B4" s="4" t="s">
        <v>293</v>
      </c>
      <c r="C4" s="7" t="s">
        <v>256</v>
      </c>
      <c r="D4" s="27" t="s">
        <v>294</v>
      </c>
    </row>
    <row r="5" spans="2:4" x14ac:dyDescent="0.2">
      <c r="B5" s="4" t="s">
        <v>295</v>
      </c>
      <c r="C5" s="7" t="s">
        <v>257</v>
      </c>
      <c r="D5" s="27" t="s">
        <v>294</v>
      </c>
    </row>
    <row r="6" spans="2:4" ht="11.65" customHeight="1" x14ac:dyDescent="0.2">
      <c r="B6" s="104" t="s">
        <v>296</v>
      </c>
      <c r="C6" s="94" t="s">
        <v>258</v>
      </c>
      <c r="D6" s="133" t="s">
        <v>297</v>
      </c>
    </row>
    <row r="7" spans="2:4" ht="3" customHeight="1" x14ac:dyDescent="0.2">
      <c r="B7" s="104"/>
      <c r="C7" s="94"/>
      <c r="D7" s="133"/>
    </row>
    <row r="8" spans="2:4" hidden="1" x14ac:dyDescent="0.2">
      <c r="B8" s="104"/>
      <c r="C8" s="94"/>
      <c r="D8" s="133"/>
    </row>
    <row r="9" spans="2:4" hidden="1" x14ac:dyDescent="0.2">
      <c r="B9" s="104"/>
      <c r="C9" s="94"/>
      <c r="D9" s="133"/>
    </row>
    <row r="10" spans="2:4" hidden="1" x14ac:dyDescent="0.2">
      <c r="B10" s="104"/>
      <c r="C10" s="94"/>
      <c r="D10" s="133"/>
    </row>
    <row r="11" spans="2:4" x14ac:dyDescent="0.2">
      <c r="B11" s="4" t="s">
        <v>298</v>
      </c>
      <c r="C11" s="7" t="s">
        <v>51</v>
      </c>
      <c r="D11" s="30" t="s">
        <v>299</v>
      </c>
    </row>
    <row r="12" spans="2:4" x14ac:dyDescent="0.2">
      <c r="B12" s="4" t="s">
        <v>300</v>
      </c>
      <c r="C12" s="7" t="s">
        <v>259</v>
      </c>
      <c r="D12" s="26" t="s">
        <v>301</v>
      </c>
    </row>
    <row r="13" spans="2:4" x14ac:dyDescent="0.2">
      <c r="B13" s="4" t="s">
        <v>302</v>
      </c>
      <c r="C13" s="7" t="s">
        <v>260</v>
      </c>
      <c r="D13" s="26" t="s">
        <v>301</v>
      </c>
    </row>
    <row r="14" spans="2:4" x14ac:dyDescent="0.2">
      <c r="B14" s="4" t="s">
        <v>303</v>
      </c>
      <c r="C14" s="7" t="s">
        <v>261</v>
      </c>
      <c r="D14" s="27" t="s">
        <v>294</v>
      </c>
    </row>
    <row r="15" spans="2:4" x14ac:dyDescent="0.2">
      <c r="B15" s="23"/>
      <c r="C15" s="24"/>
    </row>
    <row r="16" spans="2:4" x14ac:dyDescent="0.2">
      <c r="B16" s="23"/>
      <c r="C16" s="24"/>
    </row>
    <row r="17" spans="2:4" x14ac:dyDescent="0.2">
      <c r="B17" s="25" t="s">
        <v>288</v>
      </c>
      <c r="C17" s="25" t="s">
        <v>289</v>
      </c>
      <c r="D17" s="25" t="s">
        <v>290</v>
      </c>
    </row>
    <row r="18" spans="2:4" x14ac:dyDescent="0.2">
      <c r="B18" s="4" t="s">
        <v>304</v>
      </c>
      <c r="C18" s="4" t="s">
        <v>22</v>
      </c>
      <c r="D18" s="27" t="s">
        <v>294</v>
      </c>
    </row>
    <row r="19" spans="2:4" ht="3" customHeight="1" x14ac:dyDescent="0.2">
      <c r="B19" s="134" t="s">
        <v>305</v>
      </c>
      <c r="C19" s="104" t="s">
        <v>25</v>
      </c>
      <c r="D19" s="135" t="s">
        <v>294</v>
      </c>
    </row>
    <row r="20" spans="2:4" hidden="1" x14ac:dyDescent="0.2">
      <c r="B20" s="134"/>
      <c r="C20" s="104"/>
      <c r="D20" s="135"/>
    </row>
    <row r="21" spans="2:4" hidden="1" x14ac:dyDescent="0.2">
      <c r="B21" s="134"/>
      <c r="C21" s="104"/>
      <c r="D21" s="135"/>
    </row>
    <row r="22" spans="2:4" ht="11.65" customHeight="1" x14ac:dyDescent="0.2">
      <c r="B22" s="134"/>
      <c r="C22" s="104"/>
      <c r="D22" s="135"/>
    </row>
    <row r="23" spans="2:4" x14ac:dyDescent="0.2">
      <c r="B23" s="4" t="s">
        <v>306</v>
      </c>
      <c r="C23" s="4" t="s">
        <v>307</v>
      </c>
      <c r="D23" s="29" t="s">
        <v>292</v>
      </c>
    </row>
    <row r="24" spans="2:4" x14ac:dyDescent="0.2">
      <c r="B24" s="4" t="s">
        <v>308</v>
      </c>
      <c r="C24" s="4" t="s">
        <v>249</v>
      </c>
      <c r="D24" s="29" t="s">
        <v>292</v>
      </c>
    </row>
    <row r="25" spans="2:4" x14ac:dyDescent="0.2">
      <c r="B25" s="4" t="s">
        <v>309</v>
      </c>
      <c r="C25" s="4" t="s">
        <v>250</v>
      </c>
      <c r="D25" s="28" t="s">
        <v>297</v>
      </c>
    </row>
    <row r="26" spans="2:4" x14ac:dyDescent="0.2">
      <c r="B26" s="4" t="s">
        <v>310</v>
      </c>
      <c r="C26" s="4" t="s">
        <v>251</v>
      </c>
      <c r="D26" s="28" t="s">
        <v>297</v>
      </c>
    </row>
    <row r="27" spans="2:4" x14ac:dyDescent="0.2">
      <c r="B27" s="4" t="s">
        <v>311</v>
      </c>
      <c r="C27" s="7" t="s">
        <v>252</v>
      </c>
      <c r="D27" s="28" t="s">
        <v>297</v>
      </c>
    </row>
    <row r="28" spans="2:4" x14ac:dyDescent="0.2">
      <c r="B28" s="4" t="s">
        <v>312</v>
      </c>
      <c r="C28" s="4" t="s">
        <v>253</v>
      </c>
      <c r="D28" s="28" t="s">
        <v>297</v>
      </c>
    </row>
    <row r="29" spans="2:4" x14ac:dyDescent="0.2">
      <c r="B29" s="4" t="s">
        <v>313</v>
      </c>
      <c r="C29" s="4" t="s">
        <v>254</v>
      </c>
      <c r="D29" s="29" t="s">
        <v>292</v>
      </c>
    </row>
    <row r="31" spans="2:4" x14ac:dyDescent="0.2">
      <c r="B31" s="25" t="s">
        <v>288</v>
      </c>
      <c r="C31" s="25" t="s">
        <v>289</v>
      </c>
      <c r="D31" s="25" t="s">
        <v>290</v>
      </c>
    </row>
    <row r="32" spans="2:4" ht="13.15" customHeight="1" x14ac:dyDescent="0.2">
      <c r="B32" s="4" t="s">
        <v>314</v>
      </c>
      <c r="C32" s="4" t="s">
        <v>86</v>
      </c>
      <c r="D32" s="29" t="s">
        <v>292</v>
      </c>
    </row>
    <row r="33" spans="2:4" x14ac:dyDescent="0.2">
      <c r="B33" s="4" t="s">
        <v>315</v>
      </c>
      <c r="C33" s="4" t="s">
        <v>90</v>
      </c>
      <c r="D33" s="29" t="s">
        <v>292</v>
      </c>
    </row>
    <row r="34" spans="2:4" x14ac:dyDescent="0.2">
      <c r="B34" s="4" t="s">
        <v>316</v>
      </c>
      <c r="C34" s="4" t="s">
        <v>263</v>
      </c>
      <c r="D34" s="29" t="s">
        <v>292</v>
      </c>
    </row>
    <row r="35" spans="2:4" x14ac:dyDescent="0.2">
      <c r="B35" s="4" t="s">
        <v>317</v>
      </c>
      <c r="C35" s="4" t="s">
        <v>94</v>
      </c>
      <c r="D35" s="27" t="s">
        <v>294</v>
      </c>
    </row>
    <row r="36" spans="2:4" x14ac:dyDescent="0.2">
      <c r="B36" s="4" t="s">
        <v>318</v>
      </c>
      <c r="C36" s="4" t="s">
        <v>99</v>
      </c>
      <c r="D36" s="29" t="s">
        <v>292</v>
      </c>
    </row>
    <row r="37" spans="2:4" x14ac:dyDescent="0.2">
      <c r="B37" s="4" t="s">
        <v>319</v>
      </c>
      <c r="C37" s="4" t="s">
        <v>264</v>
      </c>
      <c r="D37" s="28" t="s">
        <v>297</v>
      </c>
    </row>
    <row r="38" spans="2:4" x14ac:dyDescent="0.2">
      <c r="B38" s="4" t="s">
        <v>320</v>
      </c>
      <c r="C38" s="4" t="s">
        <v>265</v>
      </c>
      <c r="D38" s="28" t="s">
        <v>297</v>
      </c>
    </row>
    <row r="39" spans="2:4" x14ac:dyDescent="0.2">
      <c r="B39" s="4" t="s">
        <v>321</v>
      </c>
      <c r="C39" s="4" t="s">
        <v>101</v>
      </c>
      <c r="D39" s="28" t="s">
        <v>297</v>
      </c>
    </row>
    <row r="40" spans="2:4" x14ac:dyDescent="0.2">
      <c r="B40" s="4" t="s">
        <v>322</v>
      </c>
      <c r="C40" s="4" t="s">
        <v>102</v>
      </c>
      <c r="D40" s="28" t="s">
        <v>297</v>
      </c>
    </row>
    <row r="41" spans="2:4" x14ac:dyDescent="0.2">
      <c r="B41" s="4" t="s">
        <v>323</v>
      </c>
      <c r="C41" s="4" t="s">
        <v>266</v>
      </c>
      <c r="D41" s="29" t="s">
        <v>292</v>
      </c>
    </row>
    <row r="42" spans="2:4" x14ac:dyDescent="0.2">
      <c r="B42" s="4" t="s">
        <v>324</v>
      </c>
      <c r="C42" s="4" t="s">
        <v>267</v>
      </c>
      <c r="D42" s="29" t="s">
        <v>292</v>
      </c>
    </row>
    <row r="44" spans="2:4" x14ac:dyDescent="0.2">
      <c r="B44" s="25" t="s">
        <v>288</v>
      </c>
      <c r="C44" s="25" t="s">
        <v>289</v>
      </c>
      <c r="D44" s="25" t="s">
        <v>290</v>
      </c>
    </row>
    <row r="45" spans="2:4" x14ac:dyDescent="0.2">
      <c r="B45" s="4" t="s">
        <v>325</v>
      </c>
      <c r="C45" s="4" t="s">
        <v>105</v>
      </c>
      <c r="D45" s="27" t="s">
        <v>294</v>
      </c>
    </row>
    <row r="46" spans="2:4" x14ac:dyDescent="0.2">
      <c r="B46" s="4" t="s">
        <v>326</v>
      </c>
      <c r="C46" s="4" t="s">
        <v>107</v>
      </c>
      <c r="D46" s="29" t="s">
        <v>292</v>
      </c>
    </row>
    <row r="47" spans="2:4" x14ac:dyDescent="0.2">
      <c r="B47" s="4" t="s">
        <v>327</v>
      </c>
      <c r="C47" s="4" t="s">
        <v>111</v>
      </c>
      <c r="D47" s="28" t="s">
        <v>297</v>
      </c>
    </row>
    <row r="48" spans="2:4" x14ac:dyDescent="0.2">
      <c r="B48" s="4" t="s">
        <v>328</v>
      </c>
      <c r="C48" s="4" t="s">
        <v>114</v>
      </c>
      <c r="D48" s="28" t="s">
        <v>297</v>
      </c>
    </row>
    <row r="49" spans="2:4" x14ac:dyDescent="0.2">
      <c r="B49" s="4" t="s">
        <v>329</v>
      </c>
      <c r="C49" s="4" t="s">
        <v>116</v>
      </c>
      <c r="D49" s="28" t="s">
        <v>297</v>
      </c>
    </row>
    <row r="50" spans="2:4" x14ac:dyDescent="0.2">
      <c r="B50" s="4" t="s">
        <v>330</v>
      </c>
      <c r="C50" s="4" t="s">
        <v>125</v>
      </c>
      <c r="D50" s="26" t="s">
        <v>301</v>
      </c>
    </row>
    <row r="52" spans="2:4" x14ac:dyDescent="0.2">
      <c r="B52" s="25" t="s">
        <v>288</v>
      </c>
      <c r="C52" s="25" t="s">
        <v>289</v>
      </c>
      <c r="D52" s="25" t="s">
        <v>290</v>
      </c>
    </row>
    <row r="53" spans="2:4" x14ac:dyDescent="0.2">
      <c r="B53" s="4" t="s">
        <v>331</v>
      </c>
      <c r="C53" s="4" t="s">
        <v>268</v>
      </c>
      <c r="D53" s="28" t="s">
        <v>297</v>
      </c>
    </row>
    <row r="54" spans="2:4" x14ac:dyDescent="0.2">
      <c r="B54" s="4" t="s">
        <v>332</v>
      </c>
      <c r="C54" s="4" t="s">
        <v>130</v>
      </c>
      <c r="D54" s="28" t="s">
        <v>297</v>
      </c>
    </row>
    <row r="55" spans="2:4" x14ac:dyDescent="0.2">
      <c r="B55" s="4" t="s">
        <v>333</v>
      </c>
      <c r="C55" s="4" t="s">
        <v>269</v>
      </c>
      <c r="D55" s="28" t="s">
        <v>297</v>
      </c>
    </row>
    <row r="56" spans="2:4" x14ac:dyDescent="0.2">
      <c r="B56" s="4" t="s">
        <v>334</v>
      </c>
      <c r="C56" s="4" t="s">
        <v>270</v>
      </c>
      <c r="D56" s="28" t="s">
        <v>297</v>
      </c>
    </row>
    <row r="58" spans="2:4" x14ac:dyDescent="0.2">
      <c r="B58" s="25" t="s">
        <v>288</v>
      </c>
      <c r="C58" s="25" t="s">
        <v>289</v>
      </c>
      <c r="D58" s="25" t="s">
        <v>290</v>
      </c>
    </row>
    <row r="59" spans="2:4" x14ac:dyDescent="0.2">
      <c r="B59" s="4" t="s">
        <v>335</v>
      </c>
      <c r="C59" s="7" t="s">
        <v>73</v>
      </c>
      <c r="D59" s="27" t="s">
        <v>294</v>
      </c>
    </row>
    <row r="60" spans="2:4" x14ac:dyDescent="0.2">
      <c r="B60" s="4" t="s">
        <v>336</v>
      </c>
      <c r="C60" s="7" t="s">
        <v>78</v>
      </c>
      <c r="D60" s="28" t="s">
        <v>297</v>
      </c>
    </row>
    <row r="61" spans="2:4" x14ac:dyDescent="0.2">
      <c r="B61" s="4" t="s">
        <v>337</v>
      </c>
      <c r="C61" s="7" t="s">
        <v>82</v>
      </c>
      <c r="D61" s="29" t="s">
        <v>292</v>
      </c>
    </row>
    <row r="62" spans="2:4" x14ac:dyDescent="0.2">
      <c r="B62" s="4" t="s">
        <v>338</v>
      </c>
      <c r="C62" s="7" t="s">
        <v>83</v>
      </c>
      <c r="D62" s="28" t="s">
        <v>297</v>
      </c>
    </row>
    <row r="63" spans="2:4" x14ac:dyDescent="0.2">
      <c r="B63" s="4" t="s">
        <v>339</v>
      </c>
      <c r="C63" s="7" t="s">
        <v>262</v>
      </c>
      <c r="D63" s="29" t="s">
        <v>292</v>
      </c>
    </row>
    <row r="64" spans="2:4" x14ac:dyDescent="0.2">
      <c r="B64" s="4" t="s">
        <v>340</v>
      </c>
      <c r="C64" s="4" t="s">
        <v>84</v>
      </c>
      <c r="D64" s="28" t="s">
        <v>297</v>
      </c>
    </row>
    <row r="71" spans="6:6" x14ac:dyDescent="0.2">
      <c r="F71" s="22">
        <f>1/6</f>
        <v>0.16666666666666666</v>
      </c>
    </row>
  </sheetData>
  <mergeCells count="6">
    <mergeCell ref="B6:B10"/>
    <mergeCell ref="C6:C10"/>
    <mergeCell ref="D6:D10"/>
    <mergeCell ref="C19:C22"/>
    <mergeCell ref="B19:B22"/>
    <mergeCell ref="D19:D2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18060-888E-44B8-ACC6-A5F0D25341B1}">
  <dimension ref="B1:E7"/>
  <sheetViews>
    <sheetView showGridLines="0" workbookViewId="0">
      <selection activeCell="F17" sqref="F17"/>
    </sheetView>
  </sheetViews>
  <sheetFormatPr baseColWidth="10" defaultColWidth="27" defaultRowHeight="12" x14ac:dyDescent="0.2"/>
  <cols>
    <col min="1" max="1" width="7.5703125" style="10" customWidth="1"/>
    <col min="2" max="2" width="31.5703125" style="11" bestFit="1" customWidth="1"/>
    <col min="3" max="3" width="28.7109375" style="11" bestFit="1" customWidth="1"/>
    <col min="4" max="4" width="28.28515625" style="11" bestFit="1" customWidth="1"/>
    <col min="5" max="16384" width="27" style="10"/>
  </cols>
  <sheetData>
    <row r="1" spans="2:5" x14ac:dyDescent="0.2">
      <c r="B1" s="9" t="s">
        <v>21</v>
      </c>
      <c r="C1" s="12" t="s">
        <v>41</v>
      </c>
      <c r="D1" s="13" t="s">
        <v>72</v>
      </c>
      <c r="E1" s="14" t="s">
        <v>85</v>
      </c>
    </row>
    <row r="2" spans="2:5" x14ac:dyDescent="0.2">
      <c r="B2" s="11" t="s">
        <v>341</v>
      </c>
      <c r="C2" s="11" t="s">
        <v>342</v>
      </c>
      <c r="D2" s="11" t="s">
        <v>343</v>
      </c>
      <c r="E2" s="11" t="s">
        <v>344</v>
      </c>
    </row>
    <row r="3" spans="2:5" x14ac:dyDescent="0.2">
      <c r="B3" s="11" t="s">
        <v>345</v>
      </c>
      <c r="C3" s="11" t="s">
        <v>346</v>
      </c>
      <c r="D3" s="11" t="s">
        <v>347</v>
      </c>
      <c r="E3" s="11"/>
    </row>
    <row r="4" spans="2:5" x14ac:dyDescent="0.2">
      <c r="D4" s="11" t="s">
        <v>348</v>
      </c>
      <c r="E4" s="11"/>
    </row>
    <row r="5" spans="2:5" x14ac:dyDescent="0.2">
      <c r="D5" s="11" t="s">
        <v>349</v>
      </c>
      <c r="E5" s="11"/>
    </row>
    <row r="6" spans="2:5" x14ac:dyDescent="0.2">
      <c r="D6" s="11" t="s">
        <v>350</v>
      </c>
      <c r="E6" s="11"/>
    </row>
    <row r="7" spans="2:5" x14ac:dyDescent="0.2">
      <c r="E7" s="1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22357DCA46D9844A1163089F9C2113C" ma:contentTypeVersion="13" ma:contentTypeDescription="Crear nuevo documento." ma:contentTypeScope="" ma:versionID="353636c4935ffed5927fb0baa7ffc5ef">
  <xsd:schema xmlns:xsd="http://www.w3.org/2001/XMLSchema" xmlns:xs="http://www.w3.org/2001/XMLSchema" xmlns:p="http://schemas.microsoft.com/office/2006/metadata/properties" xmlns:ns2="db47ea24-92e0-4a24-90ba-f4d4e5638d47" xmlns:ns3="627f8b43-9764-41ae-b6e5-58a986bf0ba7" targetNamespace="http://schemas.microsoft.com/office/2006/metadata/properties" ma:root="true" ma:fieldsID="d24c035d23bc37a1e3d5df50af021a79" ns2:_="" ns3:_="">
    <xsd:import namespace="db47ea24-92e0-4a24-90ba-f4d4e5638d47"/>
    <xsd:import namespace="627f8b43-9764-41ae-b6e5-58a986bf0b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47ea24-92e0-4a24-90ba-f4d4e5638d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a6b46e57-776e-488a-9049-98dfcec661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f8b43-9764-41ae-b6e5-58a986bf0ba7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bde4fc5-3934-4121-9971-7644bdb36cbf}" ma:internalName="TaxCatchAll" ma:showField="CatchAllData" ma:web="627f8b43-9764-41ae-b6e5-58a986bf0b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27f8b43-9764-41ae-b6e5-58a986bf0ba7" xsi:nil="true"/>
    <lcf76f155ced4ddcb4097134ff3c332f xmlns="db47ea24-92e0-4a24-90ba-f4d4e5638d4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8A8D997-9348-4FD8-B80D-C46714C46D9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A4AA8C-09DE-4B04-9931-1342DB4648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47ea24-92e0-4a24-90ba-f4d4e5638d47"/>
    <ds:schemaRef ds:uri="627f8b43-9764-41ae-b6e5-58a986bf0b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4B9F18-DB80-4B1B-B0ED-4F314284AD61}">
  <ds:schemaRefs>
    <ds:schemaRef ds:uri="http://schemas.microsoft.com/office/2006/metadata/properties"/>
    <ds:schemaRef ds:uri="http://schemas.microsoft.com/office/infopath/2007/PartnerControls"/>
    <ds:schemaRef ds:uri="627f8b43-9764-41ae-b6e5-58a986bf0ba7"/>
    <ds:schemaRef ds:uri="db47ea24-92e0-4a24-90ba-f4d4e5638d4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PAC 2026 - Propuesta</vt:lpstr>
      <vt:lpstr>Hoja1</vt:lpstr>
      <vt:lpstr>AVANCES</vt:lpstr>
      <vt:lpstr>Pedido equipo LogOn</vt:lpstr>
      <vt:lpstr>Status</vt:lpstr>
      <vt:lpstr>Consultas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Giorgia Plata Ramos Hannickel De Castro (AC)</dc:creator>
  <cp:keywords>ABClassification=Strictly Confidential</cp:keywords>
  <dc:description/>
  <cp:lastModifiedBy>Fausto Azzaretti</cp:lastModifiedBy>
  <cp:revision/>
  <dcterms:created xsi:type="dcterms:W3CDTF">2024-01-12T12:38:23Z</dcterms:created>
  <dcterms:modified xsi:type="dcterms:W3CDTF">2026-03-31T14:24:10Z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fe05d8ab-d7c7-4561-9a4f-d6b211ddaed3</vt:lpwstr>
  </property>
  <property fmtid="{D5CDD505-2E9C-101B-9397-08002B2CF9AE}" pid="3" name="ABClassification">
    <vt:lpwstr>StrictlyConfidential</vt:lpwstr>
  </property>
  <property fmtid="{D5CDD505-2E9C-101B-9397-08002B2CF9AE}" pid="4" name="MSIP_Label_e01cb8bb-2555-44e0-b0a8-75f202a8c9ca_Enabled">
    <vt:lpwstr>true</vt:lpwstr>
  </property>
  <property fmtid="{D5CDD505-2E9C-101B-9397-08002B2CF9AE}" pid="5" name="MSIP_Label_e01cb8bb-2555-44e0-b0a8-75f202a8c9ca_SetDate">
    <vt:lpwstr>2024-01-12T12:38:52Z</vt:lpwstr>
  </property>
  <property fmtid="{D5CDD505-2E9C-101B-9397-08002B2CF9AE}" pid="6" name="MSIP_Label_e01cb8bb-2555-44e0-b0a8-75f202a8c9ca_Method">
    <vt:lpwstr>Privileged</vt:lpwstr>
  </property>
  <property fmtid="{D5CDD505-2E9C-101B-9397-08002B2CF9AE}" pid="7" name="MSIP_Label_e01cb8bb-2555-44e0-b0a8-75f202a8c9ca_Name">
    <vt:lpwstr>ABI_Public_MIP</vt:lpwstr>
  </property>
  <property fmtid="{D5CDD505-2E9C-101B-9397-08002B2CF9AE}" pid="8" name="MSIP_Label_e01cb8bb-2555-44e0-b0a8-75f202a8c9ca_SiteId">
    <vt:lpwstr>cef04b19-7776-4a94-b89b-375c77a8f936</vt:lpwstr>
  </property>
  <property fmtid="{D5CDD505-2E9C-101B-9397-08002B2CF9AE}" pid="9" name="MSIP_Label_e01cb8bb-2555-44e0-b0a8-75f202a8c9ca_ActionId">
    <vt:lpwstr>4ab65a36-d59f-4d21-ab7c-44cc72c9dfaa</vt:lpwstr>
  </property>
  <property fmtid="{D5CDD505-2E9C-101B-9397-08002B2CF9AE}" pid="10" name="MSIP_Label_e01cb8bb-2555-44e0-b0a8-75f202a8c9ca_ContentBits">
    <vt:lpwstr>0</vt:lpwstr>
  </property>
  <property fmtid="{D5CDD505-2E9C-101B-9397-08002B2CF9AE}" pid="11" name="ContentTypeId">
    <vt:lpwstr>0x010100922357DCA46D9844A1163089F9C2113C</vt:lpwstr>
  </property>
  <property fmtid="{D5CDD505-2E9C-101B-9397-08002B2CF9AE}" pid="12" name="MediaServiceImageTags">
    <vt:lpwstr/>
  </property>
  <property fmtid="{D5CDD505-2E9C-101B-9397-08002B2CF9AE}" pid="13" name="ComplianceAssetId">
    <vt:lpwstr/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